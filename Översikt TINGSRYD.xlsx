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46295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46295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46295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46295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46295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46295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46295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46295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46295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46295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46295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46295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46295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46295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46295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46295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46295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46295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46295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46295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46295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46295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46295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46295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46295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46295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46295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46295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46295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46295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46295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HYPERLINK("https://klasma.github.io/Logging_0763/artfynd/A 12137-2026 artfynd.xlsx", "A 12137-2026")</f>
        <v/>
      </c>
      <c r="X32">
        <f>HYPERLINK("https://klasma.github.io/Logging_0763/kartor/A 12137-2026 karta.png", "A 12137-2026")</f>
        <v/>
      </c>
      <c r="Y32">
        <f>HYPERLINK("https://klasma.github.io/Logging_0763/kartor_geotiff/A 12137-2026 georefererad karta.tif", "A 12137-2026")</f>
        <v/>
      </c>
      <c r="AA32">
        <f>HYPERLINK("https://klasma.github.io/Logging_0763/klagomål/A 12137-2026 FSC-klagomål.docx", "A 12137-2026")</f>
        <v/>
      </c>
      <c r="AB32">
        <f>HYPERLINK("https://klasma.github.io/Logging_0763/klagomålsmail/A 12137-2026 FSC-klagomål mail.docx", "A 12137-2026")</f>
        <v/>
      </c>
      <c r="AC32">
        <f>HYPERLINK("https://klasma.github.io/Logging_0763/tillsyn/A 12137-2026 tillsynsbegäran.docx", "A 12137-2026")</f>
        <v/>
      </c>
      <c r="AD32">
        <f>HYPERLINK("https://klasma.github.io/Logging_0763/tillsynsmail/A 12137-2026 tillsynsbegäran mail.docx", "A 12137-2026")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46295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46295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46295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46295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46295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HYPERLINK("https://klasma.github.io/Logging_0763/artfynd/A 16141-2024 artfynd.xlsx", "A 16141-2024")</f>
        <v/>
      </c>
      <c r="X37">
        <f>HYPERLINK("https://klasma.github.io/Logging_0763/kartor/A 16141-2024 karta.png", "A 16141-2024")</f>
        <v/>
      </c>
      <c r="Y37">
        <f>HYPERLINK("https://klasma.github.io/Logging_0763/kartor_geotiff/A 16141-2024 georefererad karta.tif", "A 16141-2024")</f>
        <v/>
      </c>
      <c r="AA37">
        <f>HYPERLINK("https://klasma.github.io/Logging_0763/klagomål/A 16141-2024 FSC-klagomål.docx", "A 16141-2024")</f>
        <v/>
      </c>
      <c r="AB37">
        <f>HYPERLINK("https://klasma.github.io/Logging_0763/klagomålsmail/A 16141-2024 FSC-klagomål mail.docx", "A 16141-2024")</f>
        <v/>
      </c>
      <c r="AC37">
        <f>HYPERLINK("https://klasma.github.io/Logging_0763/tillsyn/A 16141-2024 tillsynsbegäran.docx", "A 16141-2024")</f>
        <v/>
      </c>
      <c r="AD37">
        <f>HYPERLINK("https://klasma.github.io/Logging_0763/tillsynsmail/A 16141-2024 tillsynsbegäran mail.docx", "A 16141-2024")</f>
        <v/>
      </c>
    </row>
    <row r="38" ht="15" customHeight="1">
      <c r="A38" t="inlineStr">
        <is>
          <t>A 9825-2023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46295</v>
      </c>
      <c r="F38" t="inlineStr">
        <is>
          <t>KRONOBERGS LÄN</t>
        </is>
      </c>
      <c r="G38" t="inlineStr">
        <is>
          <t>TINGSRYD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Huggorm</t>
        </is>
      </c>
      <c r="W38">
        <f>HYPERLINK("https://klasma.github.io/Logging_0763/artfynd/A 9825-2023 artfynd.xlsx", "A 9825-2023")</f>
        <v/>
      </c>
      <c r="X38">
        <f>HYPERLINK("https://klasma.github.io/Logging_0763/kartor/A 9825-2023 karta.png", "A 9825-2023")</f>
        <v/>
      </c>
      <c r="Y38">
        <f>HYPERLINK("https://klasma.github.io/Logging_0763/kartor_geotiff/A 9825-2023 georefererad karta.tif", "A 9825-2023")</f>
        <v/>
      </c>
      <c r="AA38">
        <f>HYPERLINK("https://klasma.github.io/Logging_0763/klagomål/A 9825-2023 FSC-klagomål.docx", "A 9825-2023")</f>
        <v/>
      </c>
      <c r="AB38">
        <f>HYPERLINK("https://klasma.github.io/Logging_0763/klagomålsmail/A 9825-2023 FSC-klagomål mail.docx", "A 9825-2023")</f>
        <v/>
      </c>
      <c r="AC38">
        <f>HYPERLINK("https://klasma.github.io/Logging_0763/tillsyn/A 9825-2023 tillsynsbegäran.docx", "A 9825-2023")</f>
        <v/>
      </c>
      <c r="AD38">
        <f>HYPERLINK("https://klasma.github.io/Logging_0763/tillsynsmail/A 9825-2023 tillsynsbegäran mail.docx", "A 9825-2023")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46295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46295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46295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46295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A 40036-2026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46295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Sångsvan</t>
        </is>
      </c>
      <c r="W43">
        <f>HYPERLINK("https://klasma.github.io/Logging_0763/artfynd/A 40036-2026 artfynd.xlsx", "A 40036-2026")</f>
        <v/>
      </c>
      <c r="X43">
        <f>HYPERLINK("https://klasma.github.io/Logging_0763/kartor/A 40036-2026 karta.png", "A 40036-2026")</f>
        <v/>
      </c>
      <c r="Y43">
        <f>HYPERLINK("https://klasma.github.io/Logging_0763/kartor_geotiff/A 40036-2026 georefererad karta.tif", "A 40036-2026")</f>
        <v/>
      </c>
      <c r="AA43">
        <f>HYPERLINK("https://klasma.github.io/Logging_0763/klagomål/A 40036-2026 FSC-klagomål.docx", "A 40036-2026")</f>
        <v/>
      </c>
      <c r="AB43">
        <f>HYPERLINK("https://klasma.github.io/Logging_0763/klagomålsmail/A 40036-2026 FSC-klagomål mail.docx", "A 40036-2026")</f>
        <v/>
      </c>
      <c r="AC43">
        <f>HYPERLINK("https://klasma.github.io/Logging_0763/tillsyn/A 40036-2026 tillsynsbegäran.docx", "A 40036-2026")</f>
        <v/>
      </c>
      <c r="AD43">
        <f>HYPERLINK("https://klasma.github.io/Logging_0763/tillsynsmail/A 40036-2026 tillsynsbegäran mail.docx", "A 40036-2026")</f>
        <v/>
      </c>
      <c r="AE43">
        <f>HYPERLINK("https://klasma.github.io/Logging_0763/fåglar/A 40036-2026 prioriterade fågelarter.docx", "A 40036-2026")</f>
        <v/>
      </c>
    </row>
    <row r="44" ht="15" customHeight="1">
      <c r="A44" t="inlineStr">
        <is>
          <t>S 1050-2024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46295</v>
      </c>
      <c r="F44" t="inlineStr">
        <is>
          <t>KRONOBERGS LÄN</t>
        </is>
      </c>
      <c r="G44" t="inlineStr">
        <is>
          <t>TINGSRYD</t>
        </is>
      </c>
      <c r="I44" t="n">
        <v>16.9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Kavelhirs</t>
        </is>
      </c>
      <c r="W44">
        <f>HYPERLINK("https://klasma.github.io/Logging_0763/artfynd/S 1050-2024 artfynd.xlsx", "S 1050-2024")</f>
        <v/>
      </c>
      <c r="X44">
        <f>HYPERLINK("https://klasma.github.io/Logging_0763/kartor/S 1050-2024 karta.png", "S 1050-2024")</f>
        <v/>
      </c>
      <c r="Y44">
        <f>HYPERLINK("https://klasma.github.io/Logging_0763/kartor_geotiff/S 1050-2024 georefererad karta.tif", "S 1050-2024")</f>
        <v/>
      </c>
      <c r="AA44">
        <f>HYPERLINK("https://klasma.github.io/Logging_0763/klagomål/S 1050-2024 FSC-klagomål.docx", "S 1050-2024")</f>
        <v/>
      </c>
      <c r="AB44">
        <f>HYPERLINK("https://klasma.github.io/Logging_0763/klagomålsmail/S 1050-2024 FSC-klagomål mail.docx", "S 1050-2024")</f>
        <v/>
      </c>
      <c r="AC44">
        <f>HYPERLINK("https://klasma.github.io/Logging_0763/tillsyn/S 1050-2024 tillsynsbegäran.docx", "S 1050-2024")</f>
        <v/>
      </c>
      <c r="AD44">
        <f>HYPERLINK("https://klasma.github.io/Logging_0763/tillsynsmail/S 1050-2024 tillsynsbegäran mail.docx", "S 1050-2024")</f>
        <v/>
      </c>
    </row>
    <row r="45" ht="15" customHeight="1">
      <c r="A45" t="inlineStr">
        <is>
          <t>S 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45330</v>
      </c>
      <c r="E45" s="1" t="n">
        <v>46295</v>
      </c>
      <c r="F45" t="inlineStr">
        <is>
          <t>KRONOBERGS LÄN</t>
        </is>
      </c>
      <c r="G45" t="inlineStr">
        <is>
          <t>TINGSRYD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HYPERLINK("https://klasma.github.io/Logging_0763/artfynd/S 358-2024 artfynd.xlsx", "S 358-2024")</f>
        <v/>
      </c>
      <c r="X45">
        <f>HYPERLINK("https://klasma.github.io/Logging_0763/kartor/S 358-2024 karta.png", "S 358-2024")</f>
        <v/>
      </c>
      <c r="Y45">
        <f>HYPERLINK("https://klasma.github.io/Logging_0763/kartor_geotiff/S 358-2024 georefererad karta.tif", "S 358-2024")</f>
        <v/>
      </c>
      <c r="AA45">
        <f>HYPERLINK("https://klasma.github.io/Logging_0763/klagomål/S 358-2024 FSC-klagomål.docx", "S 358-2024")</f>
        <v/>
      </c>
      <c r="AB45">
        <f>HYPERLINK("https://klasma.github.io/Logging_0763/klagomålsmail/S 358-2024 FSC-klagomål mail.docx", "S 358-2024")</f>
        <v/>
      </c>
      <c r="AC45">
        <f>HYPERLINK("https://klasma.github.io/Logging_0763/tillsyn/S 358-2024 tillsynsbegäran.docx", "S 358-2024")</f>
        <v/>
      </c>
      <c r="AD45">
        <f>HYPERLINK("https://klasma.github.io/Logging_0763/tillsynsmail/S 358-2024 tillsynsbegäran mail.docx", "S 358-2024")</f>
        <v/>
      </c>
    </row>
    <row r="46" ht="15" customHeight="1">
      <c r="A46" t="inlineStr">
        <is>
          <t>S 2358-2024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45467</v>
      </c>
      <c r="E46" s="1" t="n">
        <v>46295</v>
      </c>
      <c r="F46" t="inlineStr">
        <is>
          <t>KRONOBERGS LÄN</t>
        </is>
      </c>
      <c r="G46" t="inlineStr">
        <is>
          <t>TINGSRYD</t>
        </is>
      </c>
      <c r="I46" t="n">
        <v>9.4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Mattlummer</t>
        </is>
      </c>
      <c r="W46">
        <f>HYPERLINK("https://klasma.github.io/Logging_0763/artfynd/S 2358-2024 artfynd.xlsx", "S 2358-2024")</f>
        <v/>
      </c>
      <c r="X46">
        <f>HYPERLINK("https://klasma.github.io/Logging_0763/kartor/S 2358-2024 karta.png", "S 2358-2024")</f>
        <v/>
      </c>
      <c r="Y46">
        <f>HYPERLINK("https://klasma.github.io/Logging_0763/kartor_geotiff/S 2358-2024 georefererad karta.tif", "S 2358-2024")</f>
        <v/>
      </c>
      <c r="AA46">
        <f>HYPERLINK("https://klasma.github.io/Logging_0763/klagomål/S 2358-2024 FSC-klagomål.docx", "S 2358-2024")</f>
        <v/>
      </c>
      <c r="AB46">
        <f>HYPERLINK("https://klasma.github.io/Logging_0763/klagomålsmail/S 2358-2024 FSC-klagomål mail.docx", "S 2358-2024")</f>
        <v/>
      </c>
      <c r="AC46">
        <f>HYPERLINK("https://klasma.github.io/Logging_0763/tillsyn/S 2358-2024 tillsynsbegäran.docx", "S 2358-2024")</f>
        <v/>
      </c>
      <c r="AD46">
        <f>HYPERLINK("https://klasma.github.io/Logging_0763/tillsynsmail/S 2358-2024 tillsynsbegäran mail.docx", "S 2358-2024")</f>
        <v/>
      </c>
    </row>
    <row r="47" ht="15" customHeight="1">
      <c r="A47" t="inlineStr">
        <is>
          <t>S 2682-2023</t>
        </is>
      </c>
      <c r="B47" t="inlineStr">
        <is>
          <t>samrådsanmälan</t>
        </is>
      </c>
      <c r="C47" t="n">
        <v/>
      </c>
      <c r="D47" s="1" t="n">
        <v>45153</v>
      </c>
      <c r="E47" s="1" t="n">
        <v>46295</v>
      </c>
      <c r="F47" t="inlineStr">
        <is>
          <t>KRONOBERGS LÄN</t>
        </is>
      </c>
      <c r="G47" t="inlineStr">
        <is>
          <t>TINGSRYD</t>
        </is>
      </c>
      <c r="I47" t="n">
        <v>47.7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Huggorm</t>
        </is>
      </c>
      <c r="W47">
        <f>HYPERLINK("https://klasma.github.io/Logging_0763/artfynd/S 2682-2023 artfynd.xlsx", "S 2682-2023")</f>
        <v/>
      </c>
      <c r="X47">
        <f>HYPERLINK("https://klasma.github.io/Logging_0763/kartor/S 2682-2023 karta.png", "S 2682-2023")</f>
        <v/>
      </c>
      <c r="Y47">
        <f>HYPERLINK("https://klasma.github.io/Logging_0763/kartor_geotiff/S 2682-2023 georefererad karta.tif", "S 2682-2023")</f>
        <v/>
      </c>
      <c r="AA47">
        <f>HYPERLINK("https://klasma.github.io/Logging_0763/klagomål/S 2682-2023 FSC-klagomål.docx", "S 2682-2023")</f>
        <v/>
      </c>
      <c r="AB47">
        <f>HYPERLINK("https://klasma.github.io/Logging_0763/klagomålsmail/S 2682-2023 FSC-klagomål mail.docx", "S 2682-2023")</f>
        <v/>
      </c>
      <c r="AC47">
        <f>HYPERLINK("https://klasma.github.io/Logging_0763/tillsyn/S 2682-2023 tillsynsbegäran.docx", "S 2682-2023")</f>
        <v/>
      </c>
      <c r="AD47">
        <f>HYPERLINK("https://klasma.github.io/Logging_0763/tillsynsmail/S 2682-2023 tillsynsbegäran mail.docx", "S 2682-2023")</f>
        <v/>
      </c>
    </row>
    <row r="48" ht="15" customHeight="1">
      <c r="A48" t="inlineStr">
        <is>
          <t>S 3747-2024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45555</v>
      </c>
      <c r="E48" s="1" t="n">
        <v>46295</v>
      </c>
      <c r="F48" t="inlineStr">
        <is>
          <t>KRONOBERGS LÄN</t>
        </is>
      </c>
      <c r="G48" t="inlineStr">
        <is>
          <t>TINGSRYD</t>
        </is>
      </c>
      <c r="I48" t="n">
        <v>32.3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Glimmerört</t>
        </is>
      </c>
      <c r="W48">
        <f>HYPERLINK("https://klasma.github.io/Logging_0763/artfynd/S 3747-2024 artfynd.xlsx", "S 3747-2024")</f>
        <v/>
      </c>
      <c r="X48">
        <f>HYPERLINK("https://klasma.github.io/Logging_0763/kartor/S 3747-2024 karta.png", "S 3747-2024")</f>
        <v/>
      </c>
      <c r="Y48">
        <f>HYPERLINK("https://klasma.github.io/Logging_0763/kartor_geotiff/S 3747-2024 georefererad karta.tif", "S 3747-2024")</f>
        <v/>
      </c>
      <c r="AA48">
        <f>HYPERLINK("https://klasma.github.io/Logging_0763/klagomål/S 3747-2024 FSC-klagomål.docx", "S 3747-2024")</f>
        <v/>
      </c>
      <c r="AB48">
        <f>HYPERLINK("https://klasma.github.io/Logging_0763/klagomålsmail/S 3747-2024 FSC-klagomål mail.docx", "S 3747-2024")</f>
        <v/>
      </c>
      <c r="AC48">
        <f>HYPERLINK("https://klasma.github.io/Logging_0763/tillsyn/S 3747-2024 tillsynsbegäran.docx", "S 3747-2024")</f>
        <v/>
      </c>
      <c r="AD48">
        <f>HYPERLINK("https://klasma.github.io/Logging_0763/tillsynsmail/S 3747-2024 tillsynsbegäran mail.docx", "S 3747-2024")</f>
        <v/>
      </c>
    </row>
    <row r="49" ht="15" customHeight="1">
      <c r="A49" t="inlineStr">
        <is>
          <t>S 2372-2025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45890</v>
      </c>
      <c r="E49" s="1" t="n">
        <v>46295</v>
      </c>
      <c r="F49" t="inlineStr">
        <is>
          <t>KRONOBERGS LÄN</t>
        </is>
      </c>
      <c r="G49" t="inlineStr">
        <is>
          <t>TINGSRYD</t>
        </is>
      </c>
      <c r="I49" t="n">
        <v>23.3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Backruta</t>
        </is>
      </c>
      <c r="W49">
        <f>HYPERLINK("https://klasma.github.io/Logging_0763/artfynd/S 2372-2025 artfynd.xlsx", "S 2372-2025")</f>
        <v/>
      </c>
      <c r="X49">
        <f>HYPERLINK("https://klasma.github.io/Logging_0763/kartor/S 2372-2025 karta.png", "S 2372-2025")</f>
        <v/>
      </c>
      <c r="Y49">
        <f>HYPERLINK("https://klasma.github.io/Logging_0763/kartor_geotiff/S 2372-2025 georefererad karta.tif", "S 2372-2025")</f>
        <v/>
      </c>
      <c r="AA49">
        <f>HYPERLINK("https://klasma.github.io/Logging_0763/klagomål/S 2372-2025 FSC-klagomål.docx", "S 2372-2025")</f>
        <v/>
      </c>
      <c r="AB49">
        <f>HYPERLINK("https://klasma.github.io/Logging_0763/klagomålsmail/S 2372-2025 FSC-klagomål mail.docx", "S 2372-2025")</f>
        <v/>
      </c>
      <c r="AC49">
        <f>HYPERLINK("https://klasma.github.io/Logging_0763/tillsyn/S 2372-2025 tillsynsbegäran.docx", "S 2372-2025")</f>
        <v/>
      </c>
      <c r="AD49">
        <f>HYPERLINK("https://klasma.github.io/Logging_0763/tillsynsmail/S 2372-2025 tillsynsbegäran mail.docx", "S 2372-2025")</f>
        <v/>
      </c>
    </row>
    <row r="50" ht="15" customHeight="1">
      <c r="A50" t="inlineStr">
        <is>
          <t>S 270-2026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46056</v>
      </c>
      <c r="E50" s="1" t="n">
        <v>46295</v>
      </c>
      <c r="F50" t="inlineStr">
        <is>
          <t>KRONOBERGS LÄN</t>
        </is>
      </c>
      <c r="G50" t="inlineStr">
        <is>
          <t>TINGSRYD</t>
        </is>
      </c>
      <c r="I50" t="n">
        <v>43.9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HYPERLINK("https://klasma.github.io/Logging_0763/artfynd/S 270-2026 artfynd.xlsx", "S 270-2026")</f>
        <v/>
      </c>
      <c r="X50">
        <f>HYPERLINK("https://klasma.github.io/Logging_0763/kartor/S 270-2026 karta.png", "S 270-2026")</f>
        <v/>
      </c>
      <c r="Y50">
        <f>HYPERLINK("https://klasma.github.io/Logging_0763/kartor_geotiff/S 270-2026 georefererad karta.tif", "S 270-2026")</f>
        <v/>
      </c>
      <c r="AA50">
        <f>HYPERLINK("https://klasma.github.io/Logging_0763/klagomål/S 270-2026 FSC-klagomål.docx", "S 270-2026")</f>
        <v/>
      </c>
      <c r="AB50">
        <f>HYPERLINK("https://klasma.github.io/Logging_0763/klagomålsmail/S 270-2026 FSC-klagomål mail.docx", "S 270-2026")</f>
        <v/>
      </c>
      <c r="AC50">
        <f>HYPERLINK("https://klasma.github.io/Logging_0763/tillsyn/S 270-2026 tillsynsbegäran.docx", "S 270-2026")</f>
        <v/>
      </c>
      <c r="AD50">
        <f>HYPERLINK("https://klasma.github.io/Logging_0763/tillsynsmail/S 270-2026 tillsynsbegäran mail.docx", "S 270-2026")</f>
        <v/>
      </c>
    </row>
    <row r="51" ht="15" customHeight="1">
      <c r="A51" t="inlineStr">
        <is>
          <t>A 55602-2022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46295</v>
      </c>
      <c r="F51" t="inlineStr">
        <is>
          <t>KRONOBERGS LÄN</t>
        </is>
      </c>
      <c r="G51" t="inlineStr">
        <is>
          <t>TINGSRYD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74041-2021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44557</v>
      </c>
      <c r="E52" s="1" t="n">
        <v>46295</v>
      </c>
      <c r="F52" t="inlineStr">
        <is>
          <t>KRONOBERGS LÄN</t>
        </is>
      </c>
      <c r="G52" t="inlineStr">
        <is>
          <t>TINGSRYD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46295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46295</v>
      </c>
      <c r="F54" t="inlineStr">
        <is>
          <t>KRONOBERGS LÄN</t>
        </is>
      </c>
      <c r="G54" t="inlineStr">
        <is>
          <t>TINGSRYD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46295</v>
      </c>
      <c r="F55" t="inlineStr">
        <is>
          <t>KRONOBERGS LÄN</t>
        </is>
      </c>
      <c r="G55" t="inlineStr">
        <is>
          <t>TINGSRYD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46295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46295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38460-2022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44813</v>
      </c>
      <c r="E58" s="1" t="n">
        <v>46295</v>
      </c>
      <c r="F58" t="inlineStr">
        <is>
          <t>KRONOBERGS LÄN</t>
        </is>
      </c>
      <c r="G58" t="inlineStr">
        <is>
          <t>TINGSRYD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46295</v>
      </c>
      <c r="F59" t="inlineStr">
        <is>
          <t>KRONOBERGS LÄN</t>
        </is>
      </c>
      <c r="G59" t="inlineStr">
        <is>
          <t>TINGSRYD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46295</v>
      </c>
      <c r="F60" t="inlineStr">
        <is>
          <t>KRONOBERGS LÄN</t>
        </is>
      </c>
      <c r="G60" t="inlineStr">
        <is>
          <t>TINGSRYD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46295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46295</v>
      </c>
      <c r="F62" t="inlineStr">
        <is>
          <t>KRONOBERGS LÄN</t>
        </is>
      </c>
      <c r="G62" t="inlineStr">
        <is>
          <t>TINGSRYD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22384-2022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44713</v>
      </c>
      <c r="E63" s="1" t="n">
        <v>46295</v>
      </c>
      <c r="F63" t="inlineStr">
        <is>
          <t>KRONOBERGS LÄN</t>
        </is>
      </c>
      <c r="G63" t="inlineStr">
        <is>
          <t>TINGSRYD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46295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46295</v>
      </c>
      <c r="F65" t="inlineStr">
        <is>
          <t>KRONOBERGS LÄN</t>
        </is>
      </c>
      <c r="G65" t="inlineStr">
        <is>
          <t>TINGSRYD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46295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46295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46295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46295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46295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46295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59724-2021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46295</v>
      </c>
      <c r="F72" t="inlineStr">
        <is>
          <t>KRONOBERGS LÄN</t>
        </is>
      </c>
      <c r="G72" t="inlineStr">
        <is>
          <t>TINGSRYD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46295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46295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46295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44470</v>
      </c>
      <c r="E76" s="1" t="n">
        <v>46295</v>
      </c>
      <c r="F76" t="inlineStr">
        <is>
          <t>KRONOBERGS LÄN</t>
        </is>
      </c>
      <c r="G76" t="inlineStr">
        <is>
          <t>TINGSRYD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46295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46295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44570</v>
      </c>
      <c r="E79" s="1" t="n">
        <v>46295</v>
      </c>
      <c r="F79" t="inlineStr">
        <is>
          <t>KRONOBERGS LÄN</t>
        </is>
      </c>
      <c r="G79" t="inlineStr">
        <is>
          <t>TINGSRYD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46295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46295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46295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46295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46295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46295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46295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46295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46295</v>
      </c>
      <c r="F88" t="inlineStr">
        <is>
          <t>KRONOBERGS LÄN</t>
        </is>
      </c>
      <c r="G88" t="inlineStr">
        <is>
          <t>TINGSRYD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46295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46295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46295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46295</v>
      </c>
      <c r="F92" t="inlineStr">
        <is>
          <t>KRONOBERGS LÄN</t>
        </is>
      </c>
      <c r="G92" t="inlineStr">
        <is>
          <t>TINGSRYD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46295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34124-2022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46295</v>
      </c>
      <c r="F94" t="inlineStr">
        <is>
          <t>KRONOBERGS LÄN</t>
        </is>
      </c>
      <c r="G94" t="inlineStr">
        <is>
          <t>TINGSRYD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46295</v>
      </c>
      <c r="F95" t="inlineStr">
        <is>
          <t>KRONOBERGS LÄN</t>
        </is>
      </c>
      <c r="G95" t="inlineStr">
        <is>
          <t>TINGSRYD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46295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46295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46295</v>
      </c>
      <c r="F98" t="inlineStr">
        <is>
          <t>KRONOBERGS LÄN</t>
        </is>
      </c>
      <c r="G98" t="inlineStr">
        <is>
          <t>TINGSRYD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46295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46295</v>
      </c>
      <c r="F100" t="inlineStr">
        <is>
          <t>KRONOBERGS LÄN</t>
        </is>
      </c>
      <c r="G100" t="inlineStr">
        <is>
          <t>TINGSRYD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68683-2021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46295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13589-2022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46295</v>
      </c>
      <c r="F102" t="inlineStr">
        <is>
          <t>KRONOBERGS LÄN</t>
        </is>
      </c>
      <c r="G102" t="inlineStr">
        <is>
          <t>TINGSRYD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46295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44798</v>
      </c>
      <c r="E104" s="1" t="n">
        <v>46295</v>
      </c>
      <c r="F104" t="inlineStr">
        <is>
          <t>KRONOBERGS LÄN</t>
        </is>
      </c>
      <c r="G104" t="inlineStr">
        <is>
          <t>TINGSRYD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7755-2022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46295</v>
      </c>
      <c r="F105" t="inlineStr">
        <is>
          <t>KRONOBERGS LÄN</t>
        </is>
      </c>
      <c r="G105" t="inlineStr">
        <is>
          <t>TINGSRYD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46295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46295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56859-2021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44481</v>
      </c>
      <c r="E108" s="1" t="n">
        <v>46295</v>
      </c>
      <c r="F108" t="inlineStr">
        <is>
          <t>KRONOBERGS LÄN</t>
        </is>
      </c>
      <c r="G108" t="inlineStr">
        <is>
          <t>TINGSRYD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46295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46295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46295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46295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46295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46295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46295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46295</v>
      </c>
      <c r="F116" t="inlineStr">
        <is>
          <t>KRONOBERGS LÄN</t>
        </is>
      </c>
      <c r="G116" t="inlineStr">
        <is>
          <t>TINGSRYD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63820-2021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46295</v>
      </c>
      <c r="F117" t="inlineStr">
        <is>
          <t>KRONOBERGS LÄN</t>
        </is>
      </c>
      <c r="G117" t="inlineStr">
        <is>
          <t>TINGSRYD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46295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66829-2021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46295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46295</v>
      </c>
      <c r="F120" t="inlineStr">
        <is>
          <t>KRONOBERGS LÄN</t>
        </is>
      </c>
      <c r="G120" t="inlineStr">
        <is>
          <t>TINGSRYD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46295</v>
      </c>
      <c r="F121" t="inlineStr">
        <is>
          <t>KRONOBERGS LÄN</t>
        </is>
      </c>
      <c r="G121" t="inlineStr">
        <is>
          <t>TINGSRYD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44631</v>
      </c>
      <c r="E122" s="1" t="n">
        <v>46295</v>
      </c>
      <c r="F122" t="inlineStr">
        <is>
          <t>KRONOBERGS LÄN</t>
        </is>
      </c>
      <c r="G122" t="inlineStr">
        <is>
          <t>TINGSRYD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67158-2021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44523</v>
      </c>
      <c r="E123" s="1" t="n">
        <v>46295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46295</v>
      </c>
      <c r="F124" t="inlineStr">
        <is>
          <t>KRONOBERGS LÄN</t>
        </is>
      </c>
      <c r="G124" t="inlineStr">
        <is>
          <t>TINGSRYD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44749</v>
      </c>
      <c r="E125" s="1" t="n">
        <v>46295</v>
      </c>
      <c r="F125" t="inlineStr">
        <is>
          <t>KRONOBERGS LÄN</t>
        </is>
      </c>
      <c r="G125" t="inlineStr">
        <is>
          <t>TINGSRYD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46295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46295</v>
      </c>
      <c r="F127" t="inlineStr">
        <is>
          <t>KRONOBERGS LÄN</t>
        </is>
      </c>
      <c r="G127" t="inlineStr">
        <is>
          <t>TINGSRYD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71392-2021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44540</v>
      </c>
      <c r="E128" s="1" t="n">
        <v>46295</v>
      </c>
      <c r="F128" t="inlineStr">
        <is>
          <t>KRONOBERGS LÄN</t>
        </is>
      </c>
      <c r="G128" t="inlineStr">
        <is>
          <t>TINGSRYD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44676</v>
      </c>
      <c r="E129" s="1" t="n">
        <v>46295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9816-2022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44620</v>
      </c>
      <c r="E130" s="1" t="n">
        <v>46295</v>
      </c>
      <c r="F130" t="inlineStr">
        <is>
          <t>KRONOBERGS LÄN</t>
        </is>
      </c>
      <c r="G130" t="inlineStr">
        <is>
          <t>TINGSRYD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71397-2021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44540</v>
      </c>
      <c r="E131" s="1" t="n">
        <v>46295</v>
      </c>
      <c r="F131" t="inlineStr">
        <is>
          <t>KRONOBERGS LÄN</t>
        </is>
      </c>
      <c r="G131" t="inlineStr">
        <is>
          <t>TINGSRYD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53759-2022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44875</v>
      </c>
      <c r="E132" s="1" t="n">
        <v>46295</v>
      </c>
      <c r="F132" t="inlineStr">
        <is>
          <t>KRONOBERGS LÄN</t>
        </is>
      </c>
      <c r="G132" t="inlineStr">
        <is>
          <t>TINGSRYD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20143-2022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46295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18364-2022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44685</v>
      </c>
      <c r="E134" s="1" t="n">
        <v>46295</v>
      </c>
      <c r="F134" t="inlineStr">
        <is>
          <t>KRONOBERGS LÄN</t>
        </is>
      </c>
      <c r="G134" t="inlineStr">
        <is>
          <t>TINGSRYD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44641</v>
      </c>
      <c r="E135" s="1" t="n">
        <v>46295</v>
      </c>
      <c r="F135" t="inlineStr">
        <is>
          <t>KRONOBERGS LÄN</t>
        </is>
      </c>
      <c r="G135" t="inlineStr">
        <is>
          <t>TINGSRYD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71110-2021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44539</v>
      </c>
      <c r="E136" s="1" t="n">
        <v>46295</v>
      </c>
      <c r="F136" t="inlineStr">
        <is>
          <t>KRONOBERGS LÄN</t>
        </is>
      </c>
      <c r="G136" t="inlineStr">
        <is>
          <t>TINGSRYD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44631</v>
      </c>
      <c r="E137" s="1" t="n">
        <v>46295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67159-2021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46295</v>
      </c>
      <c r="F138" t="inlineStr">
        <is>
          <t>KRONOBERGS LÄN</t>
        </is>
      </c>
      <c r="G138" t="inlineStr">
        <is>
          <t>TINGSRYD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46295</v>
      </c>
      <c r="F139" t="inlineStr">
        <is>
          <t>KRONOBERGS LÄN</t>
        </is>
      </c>
      <c r="G139" t="inlineStr">
        <is>
          <t>TINGSRYD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44712</v>
      </c>
      <c r="E140" s="1" t="n">
        <v>46295</v>
      </c>
      <c r="F140" t="inlineStr">
        <is>
          <t>KRONOBERGS LÄN</t>
        </is>
      </c>
      <c r="G140" t="inlineStr">
        <is>
          <t>TINGSRYD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5683-2022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44596</v>
      </c>
      <c r="E141" s="1" t="n">
        <v>46295</v>
      </c>
      <c r="F141" t="inlineStr">
        <is>
          <t>KRONOBERGS LÄN</t>
        </is>
      </c>
      <c r="G141" t="inlineStr">
        <is>
          <t>TINGSRYD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40057-2024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46295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45362</v>
      </c>
      <c r="E143" s="1" t="n">
        <v>46295</v>
      </c>
      <c r="F143" t="inlineStr">
        <is>
          <t>KRONOBERGS LÄN</t>
        </is>
      </c>
      <c r="G143" t="inlineStr">
        <is>
          <t>TINGSRYD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41302-2023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45173</v>
      </c>
      <c r="E144" s="1" t="n">
        <v>46295</v>
      </c>
      <c r="F144" t="inlineStr">
        <is>
          <t>KRONOBERGS LÄN</t>
        </is>
      </c>
      <c r="G144" t="inlineStr">
        <is>
          <t>TINGSRYD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59093-2021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44490</v>
      </c>
      <c r="E145" s="1" t="n">
        <v>46295</v>
      </c>
      <c r="F145" t="inlineStr">
        <is>
          <t>KRONOBERGS LÄN</t>
        </is>
      </c>
      <c r="G145" t="inlineStr">
        <is>
          <t>TINGSRYD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44769</v>
      </c>
      <c r="E146" s="1" t="n">
        <v>46295</v>
      </c>
      <c r="F146" t="inlineStr">
        <is>
          <t>KRONOBERGS LÄN</t>
        </is>
      </c>
      <c r="G146" t="inlineStr">
        <is>
          <t>TINGSRYD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46295</v>
      </c>
      <c r="F147" t="inlineStr">
        <is>
          <t>KRONOBERGS LÄN</t>
        </is>
      </c>
      <c r="G147" t="inlineStr">
        <is>
          <t>TINGSRYD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53497-2022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44875</v>
      </c>
      <c r="E148" s="1" t="n">
        <v>46295</v>
      </c>
      <c r="F148" t="inlineStr">
        <is>
          <t>KRONOBERGS LÄN</t>
        </is>
      </c>
      <c r="G148" t="inlineStr">
        <is>
          <t>TINGSRYD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45395</v>
      </c>
      <c r="E149" s="1" t="n">
        <v>46295</v>
      </c>
      <c r="F149" t="inlineStr">
        <is>
          <t>KRONOBERGS LÄN</t>
        </is>
      </c>
      <c r="G149" t="inlineStr">
        <is>
          <t>TINGSRYD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46295</v>
      </c>
      <c r="F150" t="inlineStr">
        <is>
          <t>KRONOBERGS LÄN</t>
        </is>
      </c>
      <c r="G150" t="inlineStr">
        <is>
          <t>TINGSRYD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45097</v>
      </c>
      <c r="E151" s="1" t="n">
        <v>46295</v>
      </c>
      <c r="F151" t="inlineStr">
        <is>
          <t>KRONOBERGS LÄN</t>
        </is>
      </c>
      <c r="G151" t="inlineStr">
        <is>
          <t>TINGSRYD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26221-2023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45091</v>
      </c>
      <c r="E152" s="1" t="n">
        <v>46295</v>
      </c>
      <c r="F152" t="inlineStr">
        <is>
          <t>KRONOBERGS LÄN</t>
        </is>
      </c>
      <c r="G152" t="inlineStr">
        <is>
          <t>TINGSRYD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46295</v>
      </c>
      <c r="F153" t="inlineStr">
        <is>
          <t>KRONOBERGS LÄN</t>
        </is>
      </c>
      <c r="G153" t="inlineStr">
        <is>
          <t>TINGSRYD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46295</v>
      </c>
      <c r="F154" t="inlineStr">
        <is>
          <t>KRONOBERGS LÄN</t>
        </is>
      </c>
      <c r="G154" t="inlineStr">
        <is>
          <t>TINGSRYD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56861-2021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46295</v>
      </c>
      <c r="F155" t="inlineStr">
        <is>
          <t>KRONOBERGS LÄN</t>
        </is>
      </c>
      <c r="G155" t="inlineStr">
        <is>
          <t>TINGSRYD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46295</v>
      </c>
      <c r="F156" t="inlineStr">
        <is>
          <t>KRONOBERGS LÄN</t>
        </is>
      </c>
      <c r="G156" t="inlineStr">
        <is>
          <t>TINGSRYD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16954-2024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45411</v>
      </c>
      <c r="E157" s="1" t="n">
        <v>46295</v>
      </c>
      <c r="F157" t="inlineStr">
        <is>
          <t>KRONOBERGS LÄN</t>
        </is>
      </c>
      <c r="G157" t="inlineStr">
        <is>
          <t>TINGSRYD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45412</v>
      </c>
      <c r="E158" s="1" t="n">
        <v>46295</v>
      </c>
      <c r="F158" t="inlineStr">
        <is>
          <t>KRONOBERGS LÄN</t>
        </is>
      </c>
      <c r="G158" t="inlineStr">
        <is>
          <t>TINGSRYD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45449</v>
      </c>
      <c r="E159" s="1" t="n">
        <v>46295</v>
      </c>
      <c r="F159" t="inlineStr">
        <is>
          <t>KRONOBERGS LÄN</t>
        </is>
      </c>
      <c r="G159" t="inlineStr">
        <is>
          <t>TINGSRYD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45449</v>
      </c>
      <c r="E160" s="1" t="n">
        <v>46295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45394</v>
      </c>
      <c r="E161" s="1" t="n">
        <v>46295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54728-2022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44883</v>
      </c>
      <c r="E162" s="1" t="n">
        <v>46295</v>
      </c>
      <c r="F162" t="inlineStr">
        <is>
          <t>KRONOBERGS LÄN</t>
        </is>
      </c>
      <c r="G162" t="inlineStr">
        <is>
          <t>TINGSRYD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46295</v>
      </c>
      <c r="F163" t="inlineStr">
        <is>
          <t>KRONOBERGS LÄN</t>
        </is>
      </c>
      <c r="G163" t="inlineStr">
        <is>
          <t>TINGSRYD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45467</v>
      </c>
      <c r="E164" s="1" t="n">
        <v>46295</v>
      </c>
      <c r="F164" t="inlineStr">
        <is>
          <t>KRONOBERGS LÄN</t>
        </is>
      </c>
      <c r="G164" t="inlineStr">
        <is>
          <t>TINGSRYD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46295</v>
      </c>
      <c r="F165" t="inlineStr">
        <is>
          <t>KRONOBERGS LÄN</t>
        </is>
      </c>
      <c r="G165" t="inlineStr">
        <is>
          <t>TINGSRYD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46295</v>
      </c>
      <c r="F166" t="inlineStr">
        <is>
          <t>KRONOBERGS LÄN</t>
        </is>
      </c>
      <c r="G166" t="inlineStr">
        <is>
          <t>TINGSRYD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23861-2024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45455</v>
      </c>
      <c r="E167" s="1" t="n">
        <v>46295</v>
      </c>
      <c r="F167" t="inlineStr">
        <is>
          <t>KRONOBERGS LÄN</t>
        </is>
      </c>
      <c r="G167" t="inlineStr">
        <is>
          <t>TINGSRYD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46295</v>
      </c>
      <c r="F168" t="inlineStr">
        <is>
          <t>KRONOBERGS LÄN</t>
        </is>
      </c>
      <c r="G168" t="inlineStr">
        <is>
          <t>TINGSRYD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45329</v>
      </c>
      <c r="E169" s="1" t="n">
        <v>46295</v>
      </c>
      <c r="F169" t="inlineStr">
        <is>
          <t>KRONOBERGS LÄN</t>
        </is>
      </c>
      <c r="G169" t="inlineStr">
        <is>
          <t>TINGSRYD</t>
        </is>
      </c>
      <c r="H169" t="inlineStr">
        <is>
          <t>Kommuner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46295</v>
      </c>
      <c r="F170" t="inlineStr">
        <is>
          <t>KRONOBERGS LÄN</t>
        </is>
      </c>
      <c r="G170" t="inlineStr">
        <is>
          <t>TINGSRYD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46295</v>
      </c>
      <c r="F171" t="inlineStr">
        <is>
          <t>KRONOBERGS LÄN</t>
        </is>
      </c>
      <c r="G171" t="inlineStr">
        <is>
          <t>TINGSRYD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46295</v>
      </c>
      <c r="F172" t="inlineStr">
        <is>
          <t>KRONOBERGS LÄN</t>
        </is>
      </c>
      <c r="G172" t="inlineStr">
        <is>
          <t>TINGSRYD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45477</v>
      </c>
      <c r="E173" s="1" t="n">
        <v>46295</v>
      </c>
      <c r="F173" t="inlineStr">
        <is>
          <t>KRONOBERGS LÄN</t>
        </is>
      </c>
      <c r="G173" t="inlineStr">
        <is>
          <t>TINGSRYD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35997-2024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45533</v>
      </c>
      <c r="E174" s="1" t="n">
        <v>46295</v>
      </c>
      <c r="F174" t="inlineStr">
        <is>
          <t>KRONOBERGS LÄN</t>
        </is>
      </c>
      <c r="G174" t="inlineStr">
        <is>
          <t>TINGSRYD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46295</v>
      </c>
      <c r="F175" t="inlineStr">
        <is>
          <t>KRONOBERGS LÄN</t>
        </is>
      </c>
      <c r="G175" t="inlineStr">
        <is>
          <t>TINGSRYD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46295</v>
      </c>
      <c r="F176" t="inlineStr">
        <is>
          <t>KRONOBERGS LÄN</t>
        </is>
      </c>
      <c r="G176" t="inlineStr">
        <is>
          <t>TINGSRYD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45445</v>
      </c>
      <c r="E177" s="1" t="n">
        <v>46295</v>
      </c>
      <c r="F177" t="inlineStr">
        <is>
          <t>KRONOBERGS LÄN</t>
        </is>
      </c>
      <c r="G177" t="inlineStr">
        <is>
          <t>TINGSRYD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23830-2025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45793</v>
      </c>
      <c r="E178" s="1" t="n">
        <v>46295</v>
      </c>
      <c r="F178" t="inlineStr">
        <is>
          <t>KRONOBERGS LÄN</t>
        </is>
      </c>
      <c r="G178" t="inlineStr">
        <is>
          <t>TINGSRYD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23838-2025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46295</v>
      </c>
      <c r="F179" t="inlineStr">
        <is>
          <t>KRONOBERGS LÄN</t>
        </is>
      </c>
      <c r="G179" t="inlineStr">
        <is>
          <t>TINGSRYD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44728</v>
      </c>
      <c r="E180" s="1" t="n">
        <v>46295</v>
      </c>
      <c r="F180" t="inlineStr">
        <is>
          <t>KRONOBERGS LÄN</t>
        </is>
      </c>
      <c r="G180" t="inlineStr">
        <is>
          <t>TINGSRYD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45793</v>
      </c>
      <c r="E181" s="1" t="n">
        <v>46295</v>
      </c>
      <c r="F181" t="inlineStr">
        <is>
          <t>KRONOBERGS LÄN</t>
        </is>
      </c>
      <c r="G181" t="inlineStr">
        <is>
          <t>TINGSRYD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45793</v>
      </c>
      <c r="E182" s="1" t="n">
        <v>46295</v>
      </c>
      <c r="F182" t="inlineStr">
        <is>
          <t>KRONOBERGS LÄN</t>
        </is>
      </c>
      <c r="G182" t="inlineStr">
        <is>
          <t>TINGSRYD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58641-2021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46295</v>
      </c>
      <c r="F183" t="inlineStr">
        <is>
          <t>KRONOBERGS LÄN</t>
        </is>
      </c>
      <c r="G183" t="inlineStr">
        <is>
          <t>TINGSRYD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46295</v>
      </c>
      <c r="F184" t="inlineStr">
        <is>
          <t>KRONOBERGS LÄN</t>
        </is>
      </c>
      <c r="G184" t="inlineStr">
        <is>
          <t>TINGSRYD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46295</v>
      </c>
      <c r="F185" t="inlineStr">
        <is>
          <t>KRONOBERGS LÄN</t>
        </is>
      </c>
      <c r="G185" t="inlineStr">
        <is>
          <t>TINGSRYD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45152</v>
      </c>
      <c r="E186" s="1" t="n">
        <v>46295</v>
      </c>
      <c r="F186" t="inlineStr">
        <is>
          <t>KRONOBERGS LÄN</t>
        </is>
      </c>
      <c r="G186" t="inlineStr">
        <is>
          <t>TINGSRYD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42315-2023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46295</v>
      </c>
      <c r="F187" t="inlineStr">
        <is>
          <t>KRONOBERGS LÄN</t>
        </is>
      </c>
      <c r="G187" t="inlineStr">
        <is>
          <t>TINGSRYD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72446-2021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44545</v>
      </c>
      <c r="E188" s="1" t="n">
        <v>46295</v>
      </c>
      <c r="F188" t="inlineStr">
        <is>
          <t>KRONOBERGS LÄN</t>
        </is>
      </c>
      <c r="G188" t="inlineStr">
        <is>
          <t>TINGSRYD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55994-2023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46295</v>
      </c>
      <c r="F189" t="inlineStr">
        <is>
          <t>KRONOBERGS LÄN</t>
        </is>
      </c>
      <c r="G189" t="inlineStr">
        <is>
          <t>TINGSRYD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46295</v>
      </c>
      <c r="F190" t="inlineStr">
        <is>
          <t>KRONOBERGS LÄN</t>
        </is>
      </c>
      <c r="G190" t="inlineStr">
        <is>
          <t>TINGSRYD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45475</v>
      </c>
      <c r="E191" s="1" t="n">
        <v>46295</v>
      </c>
      <c r="F191" t="inlineStr">
        <is>
          <t>KRONOBERGS LÄN</t>
        </is>
      </c>
      <c r="G191" t="inlineStr">
        <is>
          <t>TINGSRYD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45671</v>
      </c>
      <c r="E192" s="1" t="n">
        <v>46295</v>
      </c>
      <c r="F192" t="inlineStr">
        <is>
          <t>KRONOBERGS LÄN</t>
        </is>
      </c>
      <c r="G192" t="inlineStr">
        <is>
          <t>TINGSRYD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46295</v>
      </c>
      <c r="F193" t="inlineStr">
        <is>
          <t>KRONOBERGS LÄN</t>
        </is>
      </c>
      <c r="G193" t="inlineStr">
        <is>
          <t>TINGSRYD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20563-2024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45436</v>
      </c>
      <c r="E194" s="1" t="n">
        <v>46295</v>
      </c>
      <c r="F194" t="inlineStr">
        <is>
          <t>KRONOBERGS LÄN</t>
        </is>
      </c>
      <c r="G194" t="inlineStr">
        <is>
          <t>TINGSRYD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45005</v>
      </c>
      <c r="E195" s="1" t="n">
        <v>46295</v>
      </c>
      <c r="F195" t="inlineStr">
        <is>
          <t>KRONOBERGS LÄN</t>
        </is>
      </c>
      <c r="G195" t="inlineStr">
        <is>
          <t>TINGSRYD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45692</v>
      </c>
      <c r="E196" s="1" t="n">
        <v>46295</v>
      </c>
      <c r="F196" t="inlineStr">
        <is>
          <t>KRONOBERGS LÄN</t>
        </is>
      </c>
      <c r="G196" t="inlineStr">
        <is>
          <t>TINGSRYD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44936</v>
      </c>
      <c r="E197" s="1" t="n">
        <v>46295</v>
      </c>
      <c r="F197" t="inlineStr">
        <is>
          <t>KRONOBERGS LÄN</t>
        </is>
      </c>
      <c r="G197" t="inlineStr">
        <is>
          <t>TINGSRYD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46295</v>
      </c>
      <c r="F198" t="inlineStr">
        <is>
          <t>KRONOBERGS LÄN</t>
        </is>
      </c>
      <c r="G198" t="inlineStr">
        <is>
          <t>TINGSRYD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46295</v>
      </c>
      <c r="F199" t="inlineStr">
        <is>
          <t>KRONOBERGS LÄN</t>
        </is>
      </c>
      <c r="G199" t="inlineStr">
        <is>
          <t>TINGSRYD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45478</v>
      </c>
      <c r="E200" s="1" t="n">
        <v>46295</v>
      </c>
      <c r="F200" t="inlineStr">
        <is>
          <t>KRONOBERGS LÄN</t>
        </is>
      </c>
      <c r="G200" t="inlineStr">
        <is>
          <t>TINGSRYD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35854-2024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45533</v>
      </c>
      <c r="E201" s="1" t="n">
        <v>46295</v>
      </c>
      <c r="F201" t="inlineStr">
        <is>
          <t>KRONOBERGS LÄN</t>
        </is>
      </c>
      <c r="G201" t="inlineStr">
        <is>
          <t>TINGSRYD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46295</v>
      </c>
      <c r="F202" t="inlineStr">
        <is>
          <t>KRONOBERGS LÄN</t>
        </is>
      </c>
      <c r="G202" t="inlineStr">
        <is>
          <t>TINGSRYD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46295</v>
      </c>
      <c r="F203" t="inlineStr">
        <is>
          <t>KRONOBERGS LÄN</t>
        </is>
      </c>
      <c r="G203" t="inlineStr">
        <is>
          <t>TINGSRYD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46295</v>
      </c>
      <c r="F204" t="inlineStr">
        <is>
          <t>KRONOBERGS LÄN</t>
        </is>
      </c>
      <c r="G204" t="inlineStr">
        <is>
          <t>TINGSRYD</t>
        </is>
      </c>
      <c r="H204" t="inlineStr">
        <is>
          <t>Övriga Aktiebolag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46295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45684</v>
      </c>
      <c r="E206" s="1" t="n">
        <v>46295</v>
      </c>
      <c r="F206" t="inlineStr">
        <is>
          <t>KRONOBERGS LÄN</t>
        </is>
      </c>
      <c r="G206" t="inlineStr">
        <is>
          <t>TINGSRYD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45727</v>
      </c>
      <c r="E207" s="1" t="n">
        <v>46295</v>
      </c>
      <c r="F207" t="inlineStr">
        <is>
          <t>KRONOBERGS LÄN</t>
        </is>
      </c>
      <c r="G207" t="inlineStr">
        <is>
          <t>TINGSRYD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45394</v>
      </c>
      <c r="E208" s="1" t="n">
        <v>46295</v>
      </c>
      <c r="F208" t="inlineStr">
        <is>
          <t>KRONOBERGS LÄN</t>
        </is>
      </c>
      <c r="G208" t="inlineStr">
        <is>
          <t>TINGSRYD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46031</v>
      </c>
      <c r="E209" s="1" t="n">
        <v>46295</v>
      </c>
      <c r="F209" t="inlineStr">
        <is>
          <t>KRONOBERGS LÄN</t>
        </is>
      </c>
      <c r="G209" t="inlineStr">
        <is>
          <t>TINGSRYD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60499-2022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46295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46295</v>
      </c>
      <c r="F211" t="inlineStr">
        <is>
          <t>KRONOBERGS LÄN</t>
        </is>
      </c>
      <c r="G211" t="inlineStr">
        <is>
          <t>TINGSRYD</t>
        </is>
      </c>
      <c r="H211" t="inlineStr">
        <is>
          <t>Kommuner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46295</v>
      </c>
      <c r="F212" t="inlineStr">
        <is>
          <t>KRONOBERGS LÄN</t>
        </is>
      </c>
      <c r="G212" t="inlineStr">
        <is>
          <t>TINGSRYD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46295</v>
      </c>
      <c r="F213" t="inlineStr">
        <is>
          <t>KRONOBERGS LÄN</t>
        </is>
      </c>
      <c r="G213" t="inlineStr">
        <is>
          <t>TINGSRYD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61658-2024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46295</v>
      </c>
      <c r="F214" t="inlineStr">
        <is>
          <t>KRONOBERGS LÄN</t>
        </is>
      </c>
      <c r="G214" t="inlineStr">
        <is>
          <t>TINGSRYD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46295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37359-2024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45540</v>
      </c>
      <c r="E216" s="1" t="n">
        <v>46295</v>
      </c>
      <c r="F216" t="inlineStr">
        <is>
          <t>KRONOBERGS LÄN</t>
        </is>
      </c>
      <c r="G216" t="inlineStr">
        <is>
          <t>TINGSRYD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56860-2021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44481</v>
      </c>
      <c r="E217" s="1" t="n">
        <v>46295</v>
      </c>
      <c r="F217" t="inlineStr">
        <is>
          <t>KRONOBERGS LÄN</t>
        </is>
      </c>
      <c r="G217" t="inlineStr">
        <is>
          <t>TINGSRYD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46295</v>
      </c>
      <c r="F218" t="inlineStr">
        <is>
          <t>KRONOBERGS LÄN</t>
        </is>
      </c>
      <c r="G218" t="inlineStr">
        <is>
          <t>TINGSRYD</t>
        </is>
      </c>
      <c r="H218" t="inlineStr">
        <is>
          <t>Kommuner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46295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45792</v>
      </c>
      <c r="E220" s="1" t="n">
        <v>46295</v>
      </c>
      <c r="F220" t="inlineStr">
        <is>
          <t>KRONOBERGS LÄN</t>
        </is>
      </c>
      <c r="G220" t="inlineStr">
        <is>
          <t>TINGSRYD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46295</v>
      </c>
      <c r="F221" t="inlineStr">
        <is>
          <t>KRONOBERGS LÄN</t>
        </is>
      </c>
      <c r="G221" t="inlineStr">
        <is>
          <t>TINGSRYD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46295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46295</v>
      </c>
      <c r="F223" t="inlineStr">
        <is>
          <t>KRONOBERGS LÄN</t>
        </is>
      </c>
      <c r="G223" t="inlineStr">
        <is>
          <t>TINGSRYD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26983-2025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45811</v>
      </c>
      <c r="E224" s="1" t="n">
        <v>46295</v>
      </c>
      <c r="F224" t="inlineStr">
        <is>
          <t>KRONOBERGS LÄN</t>
        </is>
      </c>
      <c r="G224" t="inlineStr">
        <is>
          <t>TINGSRYD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46295</v>
      </c>
      <c r="F225" t="inlineStr">
        <is>
          <t>KRONOBERGS LÄN</t>
        </is>
      </c>
      <c r="G225" t="inlineStr">
        <is>
          <t>TINGSRYD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46295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44599</v>
      </c>
      <c r="E227" s="1" t="n">
        <v>46295</v>
      </c>
      <c r="F227" t="inlineStr">
        <is>
          <t>KRONOBERGS LÄN</t>
        </is>
      </c>
      <c r="G227" t="inlineStr">
        <is>
          <t>TINGSRYD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46295</v>
      </c>
      <c r="F228" t="inlineStr">
        <is>
          <t>KRONOBERGS LÄN</t>
        </is>
      </c>
      <c r="G228" t="inlineStr">
        <is>
          <t>TINGSRYD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2773-2026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46295</v>
      </c>
      <c r="F229" t="inlineStr">
        <is>
          <t>KRONOBERGS LÄN</t>
        </is>
      </c>
      <c r="G229" t="inlineStr">
        <is>
          <t>TINGSRYD</t>
        </is>
      </c>
      <c r="H229" t="inlineStr">
        <is>
          <t>Kyrkan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44995</v>
      </c>
      <c r="E230" s="1" t="n">
        <v>46295</v>
      </c>
      <c r="F230" t="inlineStr">
        <is>
          <t>KRONOBERGS LÄN</t>
        </is>
      </c>
      <c r="G230" t="inlineStr">
        <is>
          <t>TINGSRYD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45155</v>
      </c>
      <c r="E231" s="1" t="n">
        <v>46295</v>
      </c>
      <c r="F231" t="inlineStr">
        <is>
          <t>KRONOBERGS LÄN</t>
        </is>
      </c>
      <c r="G231" t="inlineStr">
        <is>
          <t>TINGSRYD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46038</v>
      </c>
      <c r="E232" s="1" t="n">
        <v>46295</v>
      </c>
      <c r="F232" t="inlineStr">
        <is>
          <t>KRONOBERGS LÄN</t>
        </is>
      </c>
      <c r="G232" t="inlineStr">
        <is>
          <t>TINGSRYD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46295</v>
      </c>
      <c r="F233" t="inlineStr">
        <is>
          <t>KRONOBERGS LÄN</t>
        </is>
      </c>
      <c r="G233" t="inlineStr">
        <is>
          <t>TINGSRYD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45820</v>
      </c>
      <c r="E234" s="1" t="n">
        <v>46295</v>
      </c>
      <c r="F234" t="inlineStr">
        <is>
          <t>KRONOBERGS LÄN</t>
        </is>
      </c>
      <c r="G234" t="inlineStr">
        <is>
          <t>TINGSRYD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46295</v>
      </c>
      <c r="F235" t="inlineStr">
        <is>
          <t>KRONOBERGS LÄN</t>
        </is>
      </c>
      <c r="G235" t="inlineStr">
        <is>
          <t>TINGSRYD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45793</v>
      </c>
      <c r="E236" s="1" t="n">
        <v>46295</v>
      </c>
      <c r="F236" t="inlineStr">
        <is>
          <t>KRONOBERGS LÄN</t>
        </is>
      </c>
      <c r="G236" t="inlineStr">
        <is>
          <t>TINGSRYD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44928</v>
      </c>
      <c r="E237" s="1" t="n">
        <v>46295</v>
      </c>
      <c r="F237" t="inlineStr">
        <is>
          <t>KRONOBERGS LÄN</t>
        </is>
      </c>
      <c r="G237" t="inlineStr">
        <is>
          <t>TINGSRYD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13890-2023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45007</v>
      </c>
      <c r="E238" s="1" t="n">
        <v>46295</v>
      </c>
      <c r="F238" t="inlineStr">
        <is>
          <t>KRONOBERGS LÄN</t>
        </is>
      </c>
      <c r="G238" t="inlineStr">
        <is>
          <t>TINGSRYD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44971</v>
      </c>
      <c r="E239" s="1" t="n">
        <v>46295</v>
      </c>
      <c r="F239" t="inlineStr">
        <is>
          <t>KRONOBERGS LÄN</t>
        </is>
      </c>
      <c r="G239" t="inlineStr">
        <is>
          <t>TINGSRYD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46295</v>
      </c>
      <c r="F240" t="inlineStr">
        <is>
          <t>KRONOBERGS LÄN</t>
        </is>
      </c>
      <c r="G240" t="inlineStr">
        <is>
          <t>TINGSRYD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46295</v>
      </c>
      <c r="F241" t="inlineStr">
        <is>
          <t>KRONOBERGS LÄN</t>
        </is>
      </c>
      <c r="G241" t="inlineStr">
        <is>
          <t>TINGSRYD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45014</v>
      </c>
      <c r="E242" s="1" t="n">
        <v>46295</v>
      </c>
      <c r="F242" t="inlineStr">
        <is>
          <t>KRONOBERGS LÄN</t>
        </is>
      </c>
      <c r="G242" t="inlineStr">
        <is>
          <t>TINGSRYD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17026-2022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44676</v>
      </c>
      <c r="E243" s="1" t="n">
        <v>46295</v>
      </c>
      <c r="F243" t="inlineStr">
        <is>
          <t>KRONOBERGS LÄN</t>
        </is>
      </c>
      <c r="G243" t="inlineStr">
        <is>
          <t>TINGSRYD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44950</v>
      </c>
      <c r="E244" s="1" t="n">
        <v>46295</v>
      </c>
      <c r="F244" t="inlineStr">
        <is>
          <t>KRONOBERGS LÄN</t>
        </is>
      </c>
      <c r="G244" t="inlineStr">
        <is>
          <t>TINGSRYD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46295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44965</v>
      </c>
      <c r="E246" s="1" t="n">
        <v>46295</v>
      </c>
      <c r="F246" t="inlineStr">
        <is>
          <t>KRONOBERGS LÄN</t>
        </is>
      </c>
      <c r="G246" t="inlineStr">
        <is>
          <t>TINGSRYD</t>
        </is>
      </c>
      <c r="H246" t="inlineStr">
        <is>
          <t>Kommuner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7989-2022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44609</v>
      </c>
      <c r="E247" s="1" t="n">
        <v>46295</v>
      </c>
      <c r="F247" t="inlineStr">
        <is>
          <t>KRONOBERGS LÄN</t>
        </is>
      </c>
      <c r="G247" t="inlineStr">
        <is>
          <t>TINGSRYD</t>
        </is>
      </c>
      <c r="H247" t="inlineStr">
        <is>
          <t>Kommuner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44945</v>
      </c>
      <c r="E248" s="1" t="n">
        <v>46295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46295</v>
      </c>
      <c r="F249" t="inlineStr">
        <is>
          <t>KRONOBERGS LÄN</t>
        </is>
      </c>
      <c r="G249" t="inlineStr">
        <is>
          <t>TINGSRYD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46295</v>
      </c>
      <c r="F250" t="inlineStr">
        <is>
          <t>KRONOBERGS LÄN</t>
        </is>
      </c>
      <c r="G250" t="inlineStr">
        <is>
          <t>TINGSRYD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30842-2025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45831</v>
      </c>
      <c r="E251" s="1" t="n">
        <v>46295</v>
      </c>
      <c r="F251" t="inlineStr">
        <is>
          <t>KRONOBERGS LÄN</t>
        </is>
      </c>
      <c r="G251" t="inlineStr">
        <is>
          <t>TINGSRYD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46295</v>
      </c>
      <c r="F252" t="inlineStr">
        <is>
          <t>KRONOBERGS LÄN</t>
        </is>
      </c>
      <c r="G252" t="inlineStr">
        <is>
          <t>TINGSRYD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45832</v>
      </c>
      <c r="E253" s="1" t="n">
        <v>46295</v>
      </c>
      <c r="F253" t="inlineStr">
        <is>
          <t>KRONOBERGS LÄN</t>
        </is>
      </c>
      <c r="G253" t="inlineStr">
        <is>
          <t>TINGSRYD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45923</v>
      </c>
      <c r="E254" s="1" t="n">
        <v>46295</v>
      </c>
      <c r="F254" t="inlineStr">
        <is>
          <t>KRONOBERGS LÄN</t>
        </is>
      </c>
      <c r="G254" t="inlineStr">
        <is>
          <t>TINGSRYD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45923</v>
      </c>
      <c r="E255" s="1" t="n">
        <v>46295</v>
      </c>
      <c r="F255" t="inlineStr">
        <is>
          <t>KRONOBERGS LÄN</t>
        </is>
      </c>
      <c r="G255" t="inlineStr">
        <is>
          <t>TINGSRYD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46295</v>
      </c>
      <c r="F256" t="inlineStr">
        <is>
          <t>KRONOBERGS LÄN</t>
        </is>
      </c>
      <c r="G256" t="inlineStr">
        <is>
          <t>TINGSRYD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46044</v>
      </c>
      <c r="E257" s="1" t="n">
        <v>46295</v>
      </c>
      <c r="F257" t="inlineStr">
        <is>
          <t>KRONOBERGS LÄN</t>
        </is>
      </c>
      <c r="G257" t="inlineStr">
        <is>
          <t>TINGSRYD</t>
        </is>
      </c>
      <c r="H257" t="inlineStr">
        <is>
          <t>Övriga Aktiebolag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55973-2023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46295</v>
      </c>
      <c r="F258" t="inlineStr">
        <is>
          <t>KRONOBERGS LÄN</t>
        </is>
      </c>
      <c r="G258" t="inlineStr">
        <is>
          <t>TINGSRYD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38961-2024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45548</v>
      </c>
      <c r="E259" s="1" t="n">
        <v>46295</v>
      </c>
      <c r="F259" t="inlineStr">
        <is>
          <t>KRONOBERGS LÄN</t>
        </is>
      </c>
      <c r="G259" t="inlineStr">
        <is>
          <t>TINGSRYD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44936</v>
      </c>
      <c r="E260" s="1" t="n">
        <v>46295</v>
      </c>
      <c r="F260" t="inlineStr">
        <is>
          <t>KRONOBERGS LÄN</t>
        </is>
      </c>
      <c r="G260" t="inlineStr">
        <is>
          <t>TINGSRYD</t>
        </is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44936</v>
      </c>
      <c r="E261" s="1" t="n">
        <v>46295</v>
      </c>
      <c r="F261" t="inlineStr">
        <is>
          <t>KRONOBERGS LÄN</t>
        </is>
      </c>
      <c r="G261" t="inlineStr">
        <is>
          <t>TINGSRYD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32493-2025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46295</v>
      </c>
      <c r="F262" t="inlineStr">
        <is>
          <t>KRONOBERGS LÄN</t>
        </is>
      </c>
      <c r="G262" t="inlineStr">
        <is>
          <t>TINGSRYD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45434</v>
      </c>
      <c r="E263" s="1" t="n">
        <v>46295</v>
      </c>
      <c r="F263" t="inlineStr">
        <is>
          <t>KRONOBERGS LÄN</t>
        </is>
      </c>
      <c r="G263" t="inlineStr">
        <is>
          <t>TINGSRYD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45568</v>
      </c>
      <c r="E264" s="1" t="n">
        <v>46295</v>
      </c>
      <c r="F264" t="inlineStr">
        <is>
          <t>KRONOBERGS LÄN</t>
        </is>
      </c>
      <c r="G264" t="inlineStr">
        <is>
          <t>TINGSRYD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45839</v>
      </c>
      <c r="E265" s="1" t="n">
        <v>46295</v>
      </c>
      <c r="F265" t="inlineStr">
        <is>
          <t>KRONOBERGS LÄN</t>
        </is>
      </c>
      <c r="G265" t="inlineStr">
        <is>
          <t>TINGSRYD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9647-2022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44617</v>
      </c>
      <c r="E266" s="1" t="n">
        <v>46295</v>
      </c>
      <c r="F266" t="inlineStr">
        <is>
          <t>KRONOBERGS LÄN</t>
        </is>
      </c>
      <c r="G266" t="inlineStr">
        <is>
          <t>TINGSRYD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45155</v>
      </c>
      <c r="E267" s="1" t="n">
        <v>46295</v>
      </c>
      <c r="F267" t="inlineStr">
        <is>
          <t>KRONOBERGS LÄN</t>
        </is>
      </c>
      <c r="G267" t="inlineStr">
        <is>
          <t>TINGSRYD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46295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9866-2022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44620</v>
      </c>
      <c r="E269" s="1" t="n">
        <v>46295</v>
      </c>
      <c r="F269" t="inlineStr">
        <is>
          <t>KRONOBERGS LÄN</t>
        </is>
      </c>
      <c r="G269" t="inlineStr">
        <is>
          <t>TINGSRYD</t>
        </is>
      </c>
      <c r="H269" t="inlineStr">
        <is>
          <t>Kommuner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46295</v>
      </c>
      <c r="F270" t="inlineStr">
        <is>
          <t>KRONOBERGS LÄN</t>
        </is>
      </c>
      <c r="G270" t="inlineStr">
        <is>
          <t>TINGSRYD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46295</v>
      </c>
      <c r="F271" t="inlineStr">
        <is>
          <t>KRONOBERGS LÄN</t>
        </is>
      </c>
      <c r="G271" t="inlineStr">
        <is>
          <t>TINGSRYD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46295</v>
      </c>
      <c r="F272" t="inlineStr">
        <is>
          <t>KRONOBERGS LÄN</t>
        </is>
      </c>
      <c r="G272" t="inlineStr">
        <is>
          <t>TINGSRYD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48093-2025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46295</v>
      </c>
      <c r="F273" t="inlineStr">
        <is>
          <t>KRONOBERGS LÄN</t>
        </is>
      </c>
      <c r="G273" t="inlineStr">
        <is>
          <t>TINGSRYD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45677</v>
      </c>
      <c r="E274" s="1" t="n">
        <v>46295</v>
      </c>
      <c r="F274" t="inlineStr">
        <is>
          <t>KRONOBERGS LÄN</t>
        </is>
      </c>
      <c r="G274" t="inlineStr">
        <is>
          <t>TINGSRYD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20896-2024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45439</v>
      </c>
      <c r="E275" s="1" t="n">
        <v>46295</v>
      </c>
      <c r="F275" t="inlineStr">
        <is>
          <t>KRONOBERGS LÄN</t>
        </is>
      </c>
      <c r="G275" t="inlineStr">
        <is>
          <t>TINGSRYD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46295</v>
      </c>
      <c r="F276" t="inlineStr">
        <is>
          <t>KRONOBERGS LÄN</t>
        </is>
      </c>
      <c r="G276" t="inlineStr">
        <is>
          <t>TINGSRYD</t>
        </is>
      </c>
      <c r="H276" t="inlineStr">
        <is>
          <t>Övriga Aktiebolag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59089-2024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45637</v>
      </c>
      <c r="E277" s="1" t="n">
        <v>46295</v>
      </c>
      <c r="F277" t="inlineStr">
        <is>
          <t>KRONOBERGS LÄN</t>
        </is>
      </c>
      <c r="G277" t="inlineStr">
        <is>
          <t>TINGSRYD</t>
        </is>
      </c>
      <c r="H277" t="inlineStr">
        <is>
          <t>Övriga Aktiebolag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46295</v>
      </c>
      <c r="F278" t="inlineStr">
        <is>
          <t>KRONOBERGS LÄN</t>
        </is>
      </c>
      <c r="G278" t="inlineStr">
        <is>
          <t>TINGSRYD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44928</v>
      </c>
      <c r="E279" s="1" t="n">
        <v>46295</v>
      </c>
      <c r="F279" t="inlineStr">
        <is>
          <t>KRONOBERGS LÄN</t>
        </is>
      </c>
      <c r="G279" t="inlineStr">
        <is>
          <t>TINGSRYD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22641-2023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45071</v>
      </c>
      <c r="E280" s="1" t="n">
        <v>46295</v>
      </c>
      <c r="F280" t="inlineStr">
        <is>
          <t>KRONOBERGS LÄN</t>
        </is>
      </c>
      <c r="G280" t="inlineStr">
        <is>
          <t>TINGSRYD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4755-2026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46295</v>
      </c>
      <c r="F281" t="inlineStr">
        <is>
          <t>KRONOBERGS LÄN</t>
        </is>
      </c>
      <c r="G281" t="inlineStr">
        <is>
          <t>TINGSRYD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46295</v>
      </c>
      <c r="F282" t="inlineStr">
        <is>
          <t>KRONOBERGS LÄN</t>
        </is>
      </c>
      <c r="G282" t="inlineStr">
        <is>
          <t>TINGSRYD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45344</v>
      </c>
      <c r="E283" s="1" t="n">
        <v>46295</v>
      </c>
      <c r="F283" t="inlineStr">
        <is>
          <t>KRONOBERGS LÄN</t>
        </is>
      </c>
      <c r="G283" t="inlineStr">
        <is>
          <t>TINGSRYD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54229-2021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44470</v>
      </c>
      <c r="E284" s="1" t="n">
        <v>46295</v>
      </c>
      <c r="F284" t="inlineStr">
        <is>
          <t>KRONOBERGS LÄN</t>
        </is>
      </c>
      <c r="G284" t="inlineStr">
        <is>
          <t>TINGSRYD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46295</v>
      </c>
      <c r="F285" t="inlineStr">
        <is>
          <t>KRONOBERGS LÄN</t>
        </is>
      </c>
      <c r="G285" t="inlineStr">
        <is>
          <t>TINGSRYD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45162</v>
      </c>
      <c r="E286" s="1" t="n">
        <v>46295</v>
      </c>
      <c r="F286" t="inlineStr">
        <is>
          <t>KRONOBERGS LÄN</t>
        </is>
      </c>
      <c r="G286" t="inlineStr">
        <is>
          <t>TINGSRYD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44963</v>
      </c>
      <c r="E287" s="1" t="n">
        <v>46295</v>
      </c>
      <c r="F287" t="inlineStr">
        <is>
          <t>KRONOBERGS LÄN</t>
        </is>
      </c>
      <c r="G287" t="inlineStr">
        <is>
          <t>TINGSRYD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45684</v>
      </c>
      <c r="E288" s="1" t="n">
        <v>46295</v>
      </c>
      <c r="F288" t="inlineStr">
        <is>
          <t>KRONOBERGS LÄN</t>
        </is>
      </c>
      <c r="G288" t="inlineStr">
        <is>
          <t>TINGSRYD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46295</v>
      </c>
      <c r="F289" t="inlineStr">
        <is>
          <t>KRONOBERGS LÄN</t>
        </is>
      </c>
      <c r="G289" t="inlineStr">
        <is>
          <t>TINGSRYD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46295</v>
      </c>
      <c r="F290" t="inlineStr">
        <is>
          <t>KRONOBERGS LÄN</t>
        </is>
      </c>
      <c r="G290" t="inlineStr">
        <is>
          <t>TINGSRYD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45644</v>
      </c>
      <c r="E291" s="1" t="n">
        <v>46295</v>
      </c>
      <c r="F291" t="inlineStr">
        <is>
          <t>KRONOBERGS LÄN</t>
        </is>
      </c>
      <c r="G291" t="inlineStr">
        <is>
          <t>TINGSRYD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46295</v>
      </c>
      <c r="F292" t="inlineStr">
        <is>
          <t>KRONOBERGS LÄN</t>
        </is>
      </c>
      <c r="G292" t="inlineStr">
        <is>
          <t>TINGSRYD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46295</v>
      </c>
      <c r="F293" t="inlineStr">
        <is>
          <t>KRONOBERGS LÄN</t>
        </is>
      </c>
      <c r="G293" t="inlineStr">
        <is>
          <t>TINGSRYD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44993</v>
      </c>
      <c r="E294" s="1" t="n">
        <v>46295</v>
      </c>
      <c r="F294" t="inlineStr">
        <is>
          <t>KRONOBERGS LÄN</t>
        </is>
      </c>
      <c r="G294" t="inlineStr">
        <is>
          <t>TINGSRYD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46295</v>
      </c>
      <c r="F295" t="inlineStr">
        <is>
          <t>KRONOBERGS LÄN</t>
        </is>
      </c>
      <c r="G295" t="inlineStr">
        <is>
          <t>TINGSRYD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46295</v>
      </c>
      <c r="F296" t="inlineStr">
        <is>
          <t>KRONOBERGS LÄN</t>
        </is>
      </c>
      <c r="G296" t="inlineStr">
        <is>
          <t>TINGSRYD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36782-2025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45873</v>
      </c>
      <c r="E297" s="1" t="n">
        <v>46295</v>
      </c>
      <c r="F297" t="inlineStr">
        <is>
          <t>KRONOBERGS LÄN</t>
        </is>
      </c>
      <c r="G297" t="inlineStr">
        <is>
          <t>TINGSRYD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36785-2025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45873</v>
      </c>
      <c r="E298" s="1" t="n">
        <v>46295</v>
      </c>
      <c r="F298" t="inlineStr">
        <is>
          <t>KRONOBERGS LÄN</t>
        </is>
      </c>
      <c r="G298" t="inlineStr">
        <is>
          <t>TINGSRYD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46295</v>
      </c>
      <c r="F299" t="inlineStr">
        <is>
          <t>KRONOBERGS LÄN</t>
        </is>
      </c>
      <c r="G299" t="inlineStr">
        <is>
          <t>TINGSRYD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16810-2022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44673</v>
      </c>
      <c r="E300" s="1" t="n">
        <v>46295</v>
      </c>
      <c r="F300" t="inlineStr">
        <is>
          <t>KRONOBERGS LÄN</t>
        </is>
      </c>
      <c r="G300" t="inlineStr">
        <is>
          <t>TINGSRYD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46295</v>
      </c>
      <c r="F301" t="inlineStr">
        <is>
          <t>KRONOBERGS LÄN</t>
        </is>
      </c>
      <c r="G301" t="inlineStr">
        <is>
          <t>TINGSRYD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45107</v>
      </c>
      <c r="E302" s="1" t="n">
        <v>46295</v>
      </c>
      <c r="F302" t="inlineStr">
        <is>
          <t>KRONOBERGS LÄN</t>
        </is>
      </c>
      <c r="G302" t="inlineStr">
        <is>
          <t>TINGSRYD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45874</v>
      </c>
      <c r="E303" s="1" t="n">
        <v>46295</v>
      </c>
      <c r="F303" t="inlineStr">
        <is>
          <t>KRONOBERGS LÄN</t>
        </is>
      </c>
      <c r="G303" t="inlineStr">
        <is>
          <t>TINGSRYD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44620</v>
      </c>
      <c r="E304" s="1" t="n">
        <v>46295</v>
      </c>
      <c r="F304" t="inlineStr">
        <is>
          <t>KRONOBERGS LÄN</t>
        </is>
      </c>
      <c r="G304" t="inlineStr">
        <is>
          <t>TINGSRYD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45873</v>
      </c>
      <c r="E305" s="1" t="n">
        <v>46295</v>
      </c>
      <c r="F305" t="inlineStr">
        <is>
          <t>KRONOBERGS LÄN</t>
        </is>
      </c>
      <c r="G305" t="inlineStr">
        <is>
          <t>TINGSRYD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46295</v>
      </c>
      <c r="F306" t="inlineStr">
        <is>
          <t>KRONOBERGS LÄN</t>
        </is>
      </c>
      <c r="G306" t="inlineStr">
        <is>
          <t>TINGSRYD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45877</v>
      </c>
      <c r="E307" s="1" t="n">
        <v>46295</v>
      </c>
      <c r="F307" t="inlineStr">
        <is>
          <t>KRONOBERGS LÄN</t>
        </is>
      </c>
      <c r="G307" t="inlineStr">
        <is>
          <t>TINGSRYD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45034</v>
      </c>
      <c r="E308" s="1" t="n">
        <v>46295</v>
      </c>
      <c r="F308" t="inlineStr">
        <is>
          <t>KRONOBERGS LÄN</t>
        </is>
      </c>
      <c r="G308" t="inlineStr">
        <is>
          <t>TINGSRYD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37867-2025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46295</v>
      </c>
      <c r="F309" t="inlineStr">
        <is>
          <t>KRONOBERGS LÄN</t>
        </is>
      </c>
      <c r="G309" t="inlineStr">
        <is>
          <t>TINGSRYD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45881</v>
      </c>
      <c r="E310" s="1" t="n">
        <v>46295</v>
      </c>
      <c r="F310" t="inlineStr">
        <is>
          <t>KRONOBERGS LÄN</t>
        </is>
      </c>
      <c r="G310" t="inlineStr">
        <is>
          <t>TINGSRYD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45666-2024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45579</v>
      </c>
      <c r="E311" s="1" t="n">
        <v>46295</v>
      </c>
      <c r="F311" t="inlineStr">
        <is>
          <t>KRONOBERGS LÄN</t>
        </is>
      </c>
      <c r="G311" t="inlineStr">
        <is>
          <t>TINGSRYD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46295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46295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46021-2024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45580</v>
      </c>
      <c r="E314" s="1" t="n">
        <v>46295</v>
      </c>
      <c r="F314" t="inlineStr">
        <is>
          <t>KRONOBERGS LÄN</t>
        </is>
      </c>
      <c r="G314" t="inlineStr">
        <is>
          <t>TINGSRYD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46295</v>
      </c>
      <c r="F315" t="inlineStr">
        <is>
          <t>KRONOBERGS LÄN</t>
        </is>
      </c>
      <c r="G315" t="inlineStr">
        <is>
          <t>TINGSRYD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58781-2021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44489</v>
      </c>
      <c r="E316" s="1" t="n">
        <v>46295</v>
      </c>
      <c r="F316" t="inlineStr">
        <is>
          <t>KRONOBERGS LÄN</t>
        </is>
      </c>
      <c r="G316" t="inlineStr">
        <is>
          <t>TINGSRYD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46295</v>
      </c>
      <c r="F317" t="inlineStr">
        <is>
          <t>KRONOBERGS LÄN</t>
        </is>
      </c>
      <c r="G317" t="inlineStr">
        <is>
          <t>TINGSRYD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46295</v>
      </c>
      <c r="F318" t="inlineStr">
        <is>
          <t>KRONOBERGS LÄN</t>
        </is>
      </c>
      <c r="G318" t="inlineStr">
        <is>
          <t>TINGSRYD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46295</v>
      </c>
      <c r="F319" t="inlineStr">
        <is>
          <t>KRONOBERGS LÄN</t>
        </is>
      </c>
      <c r="G319" t="inlineStr">
        <is>
          <t>TINGSRYD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45007</v>
      </c>
      <c r="E320" s="1" t="n">
        <v>46295</v>
      </c>
      <c r="F320" t="inlineStr">
        <is>
          <t>KRONOBERGS LÄN</t>
        </is>
      </c>
      <c r="G320" t="inlineStr">
        <is>
          <t>TINGSRYD</t>
        </is>
      </c>
      <c r="I320" t="n">
        <v>10.5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45608</v>
      </c>
      <c r="E321" s="1" t="n">
        <v>46295</v>
      </c>
      <c r="F321" t="inlineStr">
        <is>
          <t>KRONOBERGS LÄN</t>
        </is>
      </c>
      <c r="G321" t="inlineStr">
        <is>
          <t>TINGSRYD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8101-2026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46295</v>
      </c>
      <c r="F322" t="inlineStr">
        <is>
          <t>KRONOBERGS LÄN</t>
        </is>
      </c>
      <c r="G322" t="inlineStr">
        <is>
          <t>TINGSRYD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46295</v>
      </c>
      <c r="F323" t="inlineStr">
        <is>
          <t>KRONOBERGS LÄN</t>
        </is>
      </c>
      <c r="G323" t="inlineStr">
        <is>
          <t>TINGSRYD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8107-2026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46295</v>
      </c>
      <c r="F324" t="inlineStr">
        <is>
          <t>KRONOBERGS LÄN</t>
        </is>
      </c>
      <c r="G324" t="inlineStr">
        <is>
          <t>TINGSRYD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45972</v>
      </c>
      <c r="E325" s="1" t="n">
        <v>46295</v>
      </c>
      <c r="F325" t="inlineStr">
        <is>
          <t>KRONOBERGS LÄN</t>
        </is>
      </c>
      <c r="G325" t="inlineStr">
        <is>
          <t>TINGSRYD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62222-2023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45267</v>
      </c>
      <c r="E326" s="1" t="n">
        <v>46295</v>
      </c>
      <c r="F326" t="inlineStr">
        <is>
          <t>KRONOBERGS LÄN</t>
        </is>
      </c>
      <c r="G326" t="inlineStr">
        <is>
          <t>TINGSRYD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45461</v>
      </c>
      <c r="E327" s="1" t="n">
        <v>46295</v>
      </c>
      <c r="F327" t="inlineStr">
        <is>
          <t>KRONOBERGS LÄN</t>
        </is>
      </c>
      <c r="G327" t="inlineStr">
        <is>
          <t>TINGSRYD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72450-2021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44545</v>
      </c>
      <c r="E328" s="1" t="n">
        <v>46295</v>
      </c>
      <c r="F328" t="inlineStr">
        <is>
          <t>KRONOBERGS LÄN</t>
        </is>
      </c>
      <c r="G328" t="inlineStr">
        <is>
          <t>TINGSRYD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32016-2023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46295</v>
      </c>
      <c r="F329" t="inlineStr">
        <is>
          <t>KRONOBERGS LÄN</t>
        </is>
      </c>
      <c r="G329" t="inlineStr">
        <is>
          <t>TINGSRYD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21161-2023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46295</v>
      </c>
      <c r="F330" t="inlineStr">
        <is>
          <t>KRONOBERGS LÄN</t>
        </is>
      </c>
      <c r="G330" t="inlineStr">
        <is>
          <t>TINGSRYD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45009</v>
      </c>
      <c r="E331" s="1" t="n">
        <v>46295</v>
      </c>
      <c r="F331" t="inlineStr">
        <is>
          <t>KRONOBERGS LÄN</t>
        </is>
      </c>
      <c r="G331" t="inlineStr">
        <is>
          <t>TINGSRYD</t>
        </is>
      </c>
      <c r="H331" t="inlineStr">
        <is>
          <t>Sveaskog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46295</v>
      </c>
      <c r="F332" t="inlineStr">
        <is>
          <t>KRONOBERGS LÄN</t>
        </is>
      </c>
      <c r="G332" t="inlineStr">
        <is>
          <t>TINGSRYD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45096</v>
      </c>
      <c r="E333" s="1" t="n">
        <v>46295</v>
      </c>
      <c r="F333" t="inlineStr">
        <is>
          <t>KRONOBERGS LÄN</t>
        </is>
      </c>
      <c r="G333" t="inlineStr">
        <is>
          <t>TINGSRYD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52694-2024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45610</v>
      </c>
      <c r="E334" s="1" t="n">
        <v>46295</v>
      </c>
      <c r="F334" t="inlineStr">
        <is>
          <t>KRONOBERGS LÄN</t>
        </is>
      </c>
      <c r="G334" t="inlineStr">
        <is>
          <t>TINGSRYD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45674</v>
      </c>
      <c r="E335" s="1" t="n">
        <v>46295</v>
      </c>
      <c r="F335" t="inlineStr">
        <is>
          <t>KRONOBERGS LÄN</t>
        </is>
      </c>
      <c r="G335" t="inlineStr">
        <is>
          <t>TINGSRYD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46295</v>
      </c>
      <c r="F336" t="inlineStr">
        <is>
          <t>KRONOBERGS LÄN</t>
        </is>
      </c>
      <c r="G336" t="inlineStr">
        <is>
          <t>TINGSRYD</t>
        </is>
      </c>
      <c r="I336" t="n">
        <v>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46295</v>
      </c>
      <c r="F337" t="inlineStr">
        <is>
          <t>KRONOBERGS LÄN</t>
        </is>
      </c>
      <c r="G337" t="inlineStr">
        <is>
          <t>TINGSRYD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12108-2023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44998</v>
      </c>
      <c r="E338" s="1" t="n">
        <v>46295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57440-2025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46295</v>
      </c>
      <c r="F339" t="inlineStr">
        <is>
          <t>KRONOBERGS LÄN</t>
        </is>
      </c>
      <c r="G339" t="inlineStr">
        <is>
          <t>TINGSRYD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38861-2024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46295</v>
      </c>
      <c r="F340" t="inlineStr">
        <is>
          <t>KRONOBERGS LÄN</t>
        </is>
      </c>
      <c r="G340" t="inlineStr">
        <is>
          <t>TINGSRYD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25052-2024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46295</v>
      </c>
      <c r="F341" t="inlineStr">
        <is>
          <t>KRONOBERGS LÄN</t>
        </is>
      </c>
      <c r="G341" t="inlineStr">
        <is>
          <t>TINGSRYD</t>
        </is>
      </c>
      <c r="I341" t="n">
        <v>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57959-2025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45982</v>
      </c>
      <c r="E342" s="1" t="n">
        <v>46295</v>
      </c>
      <c r="F342" t="inlineStr">
        <is>
          <t>KRONOBERGS LÄN</t>
        </is>
      </c>
      <c r="G342" t="inlineStr">
        <is>
          <t>TINGSRYD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44951</v>
      </c>
      <c r="E343" s="1" t="n">
        <v>46295</v>
      </c>
      <c r="F343" t="inlineStr">
        <is>
          <t>KRONOBERGS LÄN</t>
        </is>
      </c>
      <c r="G343" t="inlineStr">
        <is>
          <t>TINGSRYD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39747-2024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45552</v>
      </c>
      <c r="E344" s="1" t="n">
        <v>46295</v>
      </c>
      <c r="F344" t="inlineStr">
        <is>
          <t>KRONOBERGS LÄN</t>
        </is>
      </c>
      <c r="G344" t="inlineStr">
        <is>
          <t>TINGSRYD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57382-2024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45629</v>
      </c>
      <c r="E345" s="1" t="n">
        <v>46295</v>
      </c>
      <c r="F345" t="inlineStr">
        <is>
          <t>KRONOBERGS LÄN</t>
        </is>
      </c>
      <c r="G345" t="inlineStr">
        <is>
          <t>TINGSRYD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44748</v>
      </c>
      <c r="E346" s="1" t="n">
        <v>46295</v>
      </c>
      <c r="F346" t="inlineStr">
        <is>
          <t>KRONOBERGS LÄN</t>
        </is>
      </c>
      <c r="G346" t="inlineStr">
        <is>
          <t>TINGSRYD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46295</v>
      </c>
      <c r="F347" t="inlineStr">
        <is>
          <t>KRONOBERGS LÄN</t>
        </is>
      </c>
      <c r="G347" t="inlineStr">
        <is>
          <t>TINGSRYD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46295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26421-2024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46295</v>
      </c>
      <c r="F349" t="inlineStr">
        <is>
          <t>KRONOBERGS LÄN</t>
        </is>
      </c>
      <c r="G349" t="inlineStr">
        <is>
          <t>TINGSRYD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54636-2024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46295</v>
      </c>
      <c r="F350" t="inlineStr">
        <is>
          <t>KRONOBERGS LÄN</t>
        </is>
      </c>
      <c r="G350" t="inlineStr">
        <is>
          <t>TINGSRYD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32523-2023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45121</v>
      </c>
      <c r="E351" s="1" t="n">
        <v>46295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46078</v>
      </c>
      <c r="E352" s="1" t="n">
        <v>46295</v>
      </c>
      <c r="F352" t="inlineStr">
        <is>
          <t>KRONOBERGS LÄN</t>
        </is>
      </c>
      <c r="G352" t="inlineStr">
        <is>
          <t>TINGSRYD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46295</v>
      </c>
      <c r="F353" t="inlineStr">
        <is>
          <t>KRONOBERGS LÄN</t>
        </is>
      </c>
      <c r="G353" t="inlineStr">
        <is>
          <t>TINGSRYD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59918-2025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46295</v>
      </c>
      <c r="F354" t="inlineStr">
        <is>
          <t>KRONOBERGS LÄN</t>
        </is>
      </c>
      <c r="G354" t="inlineStr">
        <is>
          <t>TINGSRYD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10734-2025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45722</v>
      </c>
      <c r="E355" s="1" t="n">
        <v>46295</v>
      </c>
      <c r="F355" t="inlineStr">
        <is>
          <t>KRONOBERGS LÄN</t>
        </is>
      </c>
      <c r="G355" t="inlineStr">
        <is>
          <t>TINGSRYD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44994</v>
      </c>
      <c r="E356" s="1" t="n">
        <v>46295</v>
      </c>
      <c r="F356" t="inlineStr">
        <is>
          <t>KRONOBERGS LÄN</t>
        </is>
      </c>
      <c r="G356" t="inlineStr">
        <is>
          <t>TINGSRYD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60214-2021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46295</v>
      </c>
      <c r="F357" t="inlineStr">
        <is>
          <t>KRONOBERGS LÄN</t>
        </is>
      </c>
      <c r="G357" t="inlineStr">
        <is>
          <t>TINGSRYD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46295</v>
      </c>
      <c r="F358" t="inlineStr">
        <is>
          <t>KRONOBERGS LÄN</t>
        </is>
      </c>
      <c r="G358" t="inlineStr">
        <is>
          <t>TINGSRYD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46295</v>
      </c>
      <c r="F359" t="inlineStr">
        <is>
          <t>KRONOBERGS LÄN</t>
        </is>
      </c>
      <c r="G359" t="inlineStr">
        <is>
          <t>TINGSRYD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11451-2026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46083</v>
      </c>
      <c r="E360" s="1" t="n">
        <v>46295</v>
      </c>
      <c r="F360" t="inlineStr">
        <is>
          <t>KRONOBERGS LÄN</t>
        </is>
      </c>
      <c r="G360" t="inlineStr">
        <is>
          <t>TINGSRYD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63078-2021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44505</v>
      </c>
      <c r="E361" s="1" t="n">
        <v>46295</v>
      </c>
      <c r="F361" t="inlineStr">
        <is>
          <t>KRONOBERGS LÄN</t>
        </is>
      </c>
      <c r="G361" t="inlineStr">
        <is>
          <t>TINGSRYD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46295</v>
      </c>
      <c r="F362" t="inlineStr">
        <is>
          <t>KRONOBERGS LÄN</t>
        </is>
      </c>
      <c r="G362" t="inlineStr">
        <is>
          <t>TINGSRYD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21157-2023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46295</v>
      </c>
      <c r="F363" t="inlineStr">
        <is>
          <t>KRONOBERGS LÄN</t>
        </is>
      </c>
      <c r="G363" t="inlineStr">
        <is>
          <t>TINGSRYD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61150-2025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46000</v>
      </c>
      <c r="E364" s="1" t="n">
        <v>46295</v>
      </c>
      <c r="F364" t="inlineStr">
        <is>
          <t>KRONOBERGS LÄN</t>
        </is>
      </c>
      <c r="G364" t="inlineStr">
        <is>
          <t>TINGSRYD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24003-2023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45078</v>
      </c>
      <c r="E365" s="1" t="n">
        <v>46295</v>
      </c>
      <c r="F365" t="inlineStr">
        <is>
          <t>KRONOBERGS LÄN</t>
        </is>
      </c>
      <c r="G365" t="inlineStr">
        <is>
          <t>TINGSRYD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17518-2023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45036</v>
      </c>
      <c r="E366" s="1" t="n">
        <v>46295</v>
      </c>
      <c r="F366" t="inlineStr">
        <is>
          <t>KRONOBERGS LÄN</t>
        </is>
      </c>
      <c r="G366" t="inlineStr">
        <is>
          <t>TINGSRYD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17333-2023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45035</v>
      </c>
      <c r="E367" s="1" t="n">
        <v>46295</v>
      </c>
      <c r="F367" t="inlineStr">
        <is>
          <t>KRONOBERGS LÄN</t>
        </is>
      </c>
      <c r="G367" t="inlineStr">
        <is>
          <t>TINGSRYD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46000</v>
      </c>
      <c r="E368" s="1" t="n">
        <v>46295</v>
      </c>
      <c r="F368" t="inlineStr">
        <is>
          <t>KRONOBERGS LÄN</t>
        </is>
      </c>
      <c r="G368" t="inlineStr">
        <is>
          <t>TINGSRYD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68681-2021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44529</v>
      </c>
      <c r="E369" s="1" t="n">
        <v>46295</v>
      </c>
      <c r="F369" t="inlineStr">
        <is>
          <t>KRONOBERGS LÄN</t>
        </is>
      </c>
      <c r="G369" t="inlineStr">
        <is>
          <t>TINGSRYD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46086</v>
      </c>
      <c r="E370" s="1" t="n">
        <v>46295</v>
      </c>
      <c r="F370" t="inlineStr">
        <is>
          <t>KRONOBERGS LÄN</t>
        </is>
      </c>
      <c r="G370" t="inlineStr">
        <is>
          <t>TINGSRYD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46090</v>
      </c>
      <c r="E371" s="1" t="n">
        <v>46295</v>
      </c>
      <c r="F371" t="inlineStr">
        <is>
          <t>KRONOBERGS LÄN</t>
        </is>
      </c>
      <c r="G371" t="inlineStr">
        <is>
          <t>TINGSRYD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62470-2025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46295</v>
      </c>
      <c r="F372" t="inlineStr">
        <is>
          <t>KRONOBERGS LÄN</t>
        </is>
      </c>
      <c r="G372" t="inlineStr">
        <is>
          <t>TINGSRYD</t>
        </is>
      </c>
      <c r="H372" t="inlineStr">
        <is>
          <t>Kommuner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46295</v>
      </c>
      <c r="F373" t="inlineStr">
        <is>
          <t>KRONOBERGS LÄN</t>
        </is>
      </c>
      <c r="G373" t="inlineStr">
        <is>
          <t>TINGSRYD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46295</v>
      </c>
      <c r="F374" t="inlineStr">
        <is>
          <t>KRONOBERGS LÄN</t>
        </is>
      </c>
      <c r="G374" t="inlineStr">
        <is>
          <t>TINGSRYD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13928-2026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46098</v>
      </c>
      <c r="E375" s="1" t="n">
        <v>46295</v>
      </c>
      <c r="F375" t="inlineStr">
        <is>
          <t>KRONOBERGS LÄN</t>
        </is>
      </c>
      <c r="G375" t="inlineStr">
        <is>
          <t>TINGSRYD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39992-2023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45167</v>
      </c>
      <c r="E376" s="1" t="n">
        <v>46295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44299-2023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45188</v>
      </c>
      <c r="E377" s="1" t="n">
        <v>46295</v>
      </c>
      <c r="F377" t="inlineStr">
        <is>
          <t>KRONOBERGS LÄN</t>
        </is>
      </c>
      <c r="G377" t="inlineStr">
        <is>
          <t>TINGSRYD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45710</v>
      </c>
      <c r="E378" s="1" t="n">
        <v>46295</v>
      </c>
      <c r="F378" t="inlineStr">
        <is>
          <t>KRONOBERGS LÄN</t>
        </is>
      </c>
      <c r="G378" t="inlineStr">
        <is>
          <t>TINGSRYD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14651-2026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46295</v>
      </c>
      <c r="F379" t="inlineStr">
        <is>
          <t>KRONOBERGS LÄN</t>
        </is>
      </c>
      <c r="G379" t="inlineStr">
        <is>
          <t>TINGSRYD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46101</v>
      </c>
      <c r="E380" s="1" t="n">
        <v>46295</v>
      </c>
      <c r="F380" t="inlineStr">
        <is>
          <t>KRONOBERGS LÄN</t>
        </is>
      </c>
      <c r="G380" t="inlineStr">
        <is>
          <t>TINGSRYD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44937</v>
      </c>
      <c r="E381" s="1" t="n">
        <v>46295</v>
      </c>
      <c r="F381" t="inlineStr">
        <is>
          <t>KRONOBERGS LÄN</t>
        </is>
      </c>
      <c r="G381" t="inlineStr">
        <is>
          <t>TINGSRYD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45188</v>
      </c>
      <c r="E382" s="1" t="n">
        <v>46295</v>
      </c>
      <c r="F382" t="inlineStr">
        <is>
          <t>KRONOBERGS LÄN</t>
        </is>
      </c>
      <c r="G382" t="inlineStr">
        <is>
          <t>TINGSRYD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45772</v>
      </c>
      <c r="E383" s="1" t="n">
        <v>46295</v>
      </c>
      <c r="F383" t="inlineStr">
        <is>
          <t>KRONOBERGS LÄN</t>
        </is>
      </c>
      <c r="G383" t="inlineStr">
        <is>
          <t>TINGSRYD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46295</v>
      </c>
      <c r="F384" t="inlineStr">
        <is>
          <t>KRONOBERGS LÄN</t>
        </is>
      </c>
      <c r="G384" t="inlineStr">
        <is>
          <t>TINGSRYD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46295</v>
      </c>
      <c r="F385" t="inlineStr">
        <is>
          <t>KRONOBERGS LÄN</t>
        </is>
      </c>
      <c r="G385" t="inlineStr">
        <is>
          <t>TINGSRYD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10855-2023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44991</v>
      </c>
      <c r="E386" s="1" t="n">
        <v>46295</v>
      </c>
      <c r="F386" t="inlineStr">
        <is>
          <t>KRONOBERGS LÄN</t>
        </is>
      </c>
      <c r="G386" t="inlineStr">
        <is>
          <t>TINGSRYD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10856-2023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44991</v>
      </c>
      <c r="E387" s="1" t="n">
        <v>46295</v>
      </c>
      <c r="F387" t="inlineStr">
        <is>
          <t>KRONOBERGS LÄN</t>
        </is>
      </c>
      <c r="G387" t="inlineStr">
        <is>
          <t>TINGSRYD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57955-2023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45247</v>
      </c>
      <c r="E388" s="1" t="n">
        <v>46295</v>
      </c>
      <c r="F388" t="inlineStr">
        <is>
          <t>KRONOBERGS LÄN</t>
        </is>
      </c>
      <c r="G388" t="inlineStr">
        <is>
          <t>TINGSRYD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45247</v>
      </c>
      <c r="E389" s="1" t="n">
        <v>46295</v>
      </c>
      <c r="F389" t="inlineStr">
        <is>
          <t>KRONOBERGS LÄN</t>
        </is>
      </c>
      <c r="G389" t="inlineStr">
        <is>
          <t>TINGSRYD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44988</v>
      </c>
      <c r="E390" s="1" t="n">
        <v>46295</v>
      </c>
      <c r="F390" t="inlineStr">
        <is>
          <t>KRONOBERGS LÄN</t>
        </is>
      </c>
      <c r="G390" t="inlineStr">
        <is>
          <t>TINGSRYD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30918-2023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46295</v>
      </c>
      <c r="F391" t="inlineStr">
        <is>
          <t>KRONOBERGS LÄN</t>
        </is>
      </c>
      <c r="G391" t="inlineStr">
        <is>
          <t>TINGSRYD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30044-2023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45110</v>
      </c>
      <c r="E392" s="1" t="n">
        <v>46295</v>
      </c>
      <c r="F392" t="inlineStr">
        <is>
          <t>KRONOBERGS LÄN</t>
        </is>
      </c>
      <c r="G392" t="inlineStr">
        <is>
          <t>TINGSRYD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14902-2026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46295</v>
      </c>
      <c r="F393" t="inlineStr">
        <is>
          <t>KRONOBERGS LÄN</t>
        </is>
      </c>
      <c r="G393" t="inlineStr">
        <is>
          <t>TINGSRYD</t>
        </is>
      </c>
      <c r="H393" t="inlineStr">
        <is>
          <t>Övriga Aktiebolag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46295</v>
      </c>
      <c r="F394" t="inlineStr">
        <is>
          <t>KRONOBERGS LÄN</t>
        </is>
      </c>
      <c r="G394" t="inlineStr">
        <is>
          <t>TINGSRYD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21512-2023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45063</v>
      </c>
      <c r="E395" s="1" t="n">
        <v>46295</v>
      </c>
      <c r="F395" t="inlineStr">
        <is>
          <t>KRONOBERGS LÄN</t>
        </is>
      </c>
      <c r="G395" t="inlineStr">
        <is>
          <t>TINGSRYD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46295</v>
      </c>
      <c r="F396" t="inlineStr">
        <is>
          <t>KRONOBERGS LÄN</t>
        </is>
      </c>
      <c r="G396" t="inlineStr">
        <is>
          <t>TINGSRYD</t>
        </is>
      </c>
      <c r="H396" t="inlineStr">
        <is>
          <t>Övriga Aktiebolag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13186-2023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45002</v>
      </c>
      <c r="E397" s="1" t="n">
        <v>46295</v>
      </c>
      <c r="F397" t="inlineStr">
        <is>
          <t>KRONOBERGS LÄN</t>
        </is>
      </c>
      <c r="G397" t="inlineStr">
        <is>
          <t>TINGSRYD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44930</v>
      </c>
      <c r="E398" s="1" t="n">
        <v>46295</v>
      </c>
      <c r="F398" t="inlineStr">
        <is>
          <t>KRONOBERGS LÄN</t>
        </is>
      </c>
      <c r="G398" t="inlineStr">
        <is>
          <t>TINGSRYD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46295</v>
      </c>
      <c r="F399" t="inlineStr">
        <is>
          <t>KRONOBERGS LÄN</t>
        </is>
      </c>
      <c r="G399" t="inlineStr">
        <is>
          <t>TINGSRYD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15998-2026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46108</v>
      </c>
      <c r="E400" s="1" t="n">
        <v>46295</v>
      </c>
      <c r="F400" t="inlineStr">
        <is>
          <t>KRONOBERGS LÄN</t>
        </is>
      </c>
      <c r="G400" t="inlineStr">
        <is>
          <t>TINGSRYD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16014-2026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46108</v>
      </c>
      <c r="E401" s="1" t="n">
        <v>46295</v>
      </c>
      <c r="F401" t="inlineStr">
        <is>
          <t>KRONOBERGS LÄN</t>
        </is>
      </c>
      <c r="G401" t="inlineStr">
        <is>
          <t>TINGSRYD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10763-2022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44627</v>
      </c>
      <c r="E402" s="1" t="n">
        <v>46295</v>
      </c>
      <c r="F402" t="inlineStr">
        <is>
          <t>KRONOBERGS LÄN</t>
        </is>
      </c>
      <c r="G402" t="inlineStr">
        <is>
          <t>TINGSRYD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46295</v>
      </c>
      <c r="F403" t="inlineStr">
        <is>
          <t>KRONOBERGS LÄN</t>
        </is>
      </c>
      <c r="G403" t="inlineStr">
        <is>
          <t>TINGSRYD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46295</v>
      </c>
      <c r="F404" t="inlineStr">
        <is>
          <t>KRONOBERGS LÄN</t>
        </is>
      </c>
      <c r="G404" t="inlineStr">
        <is>
          <t>TINGSRYD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22637-2023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45071</v>
      </c>
      <c r="E405" s="1" t="n">
        <v>46295</v>
      </c>
      <c r="F405" t="inlineStr">
        <is>
          <t>KRONOBERGS LÄN</t>
        </is>
      </c>
      <c r="G405" t="inlineStr">
        <is>
          <t>TINGSRYD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45071</v>
      </c>
      <c r="E406" s="1" t="n">
        <v>46295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46295</v>
      </c>
      <c r="F407" t="inlineStr">
        <is>
          <t>KRONOBERGS LÄN</t>
        </is>
      </c>
      <c r="G407" t="inlineStr">
        <is>
          <t>TINGSRYD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60744-2023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45260</v>
      </c>
      <c r="E408" s="1" t="n">
        <v>46295</v>
      </c>
      <c r="F408" t="inlineStr">
        <is>
          <t>KRONOBERGS LÄN</t>
        </is>
      </c>
      <c r="G408" t="inlineStr">
        <is>
          <t>TINGSRYD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11559-2022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44631</v>
      </c>
      <c r="E409" s="1" t="n">
        <v>46295</v>
      </c>
      <c r="F409" t="inlineStr">
        <is>
          <t>KRONOBERGS LÄN</t>
        </is>
      </c>
      <c r="G409" t="inlineStr">
        <is>
          <t>TINGSRYD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30678-2023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46295</v>
      </c>
      <c r="F410" t="inlineStr">
        <is>
          <t>KRONOBERGS LÄN</t>
        </is>
      </c>
      <c r="G410" t="inlineStr">
        <is>
          <t>TINGSRYD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45735</v>
      </c>
      <c r="E411" s="1" t="n">
        <v>46295</v>
      </c>
      <c r="F411" t="inlineStr">
        <is>
          <t>KRONOBERGS LÄN</t>
        </is>
      </c>
      <c r="G411" t="inlineStr">
        <is>
          <t>TINGSRYD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13401-2025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45735</v>
      </c>
      <c r="E412" s="1" t="n">
        <v>46295</v>
      </c>
      <c r="F412" t="inlineStr">
        <is>
          <t>KRONOBERGS LÄN</t>
        </is>
      </c>
      <c r="G412" t="inlineStr">
        <is>
          <t>TINGSRYD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45466</v>
      </c>
      <c r="E413" s="1" t="n">
        <v>46295</v>
      </c>
      <c r="F413" t="inlineStr">
        <is>
          <t>KRONOBERGS LÄN</t>
        </is>
      </c>
      <c r="G413" t="inlineStr">
        <is>
          <t>TINGSRYD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54466-2021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44473</v>
      </c>
      <c r="E414" s="1" t="n">
        <v>46295</v>
      </c>
      <c r="F414" t="inlineStr">
        <is>
          <t>KRONOBERGS LÄN</t>
        </is>
      </c>
      <c r="G414" t="inlineStr">
        <is>
          <t>TINGSRYD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33817-2022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44790</v>
      </c>
      <c r="E415" s="1" t="n">
        <v>46295</v>
      </c>
      <c r="F415" t="inlineStr">
        <is>
          <t>KRONOBERGS LÄN</t>
        </is>
      </c>
      <c r="G415" t="inlineStr">
        <is>
          <t>TINGSRYD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17240-2026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46119</v>
      </c>
      <c r="E416" s="1" t="n">
        <v>46295</v>
      </c>
      <c r="F416" t="inlineStr">
        <is>
          <t>KRONOBERGS LÄN</t>
        </is>
      </c>
      <c r="G416" t="inlineStr">
        <is>
          <t>TINGSRYD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46120</v>
      </c>
      <c r="E417" s="1" t="n">
        <v>46295</v>
      </c>
      <c r="F417" t="inlineStr">
        <is>
          <t>KRONOBERGS LÄN</t>
        </is>
      </c>
      <c r="G417" t="inlineStr">
        <is>
          <t>TINGSRYD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24390-2023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45082</v>
      </c>
      <c r="E418" s="1" t="n">
        <v>46295</v>
      </c>
      <c r="F418" t="inlineStr">
        <is>
          <t>KRONOBERGS LÄN</t>
        </is>
      </c>
      <c r="G418" t="inlineStr">
        <is>
          <t>TINGSRYD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45082</v>
      </c>
      <c r="E419" s="1" t="n">
        <v>46295</v>
      </c>
      <c r="F419" t="inlineStr">
        <is>
          <t>KRONOBERGS LÄN</t>
        </is>
      </c>
      <c r="G419" t="inlineStr">
        <is>
          <t>TINGSRYD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29588-2023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45106</v>
      </c>
      <c r="E420" s="1" t="n">
        <v>46295</v>
      </c>
      <c r="F420" t="inlineStr">
        <is>
          <t>KRONOBERGS LÄN</t>
        </is>
      </c>
      <c r="G420" t="inlineStr">
        <is>
          <t>TINGSRYD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61461-2022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44916</v>
      </c>
      <c r="E421" s="1" t="n">
        <v>46295</v>
      </c>
      <c r="F421" t="inlineStr">
        <is>
          <t>KRONOBERGS LÄN</t>
        </is>
      </c>
      <c r="G421" t="inlineStr">
        <is>
          <t>TINGSRYD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60979-2023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45261</v>
      </c>
      <c r="E422" s="1" t="n">
        <v>46295</v>
      </c>
      <c r="F422" t="inlineStr">
        <is>
          <t>KRONOBERGS LÄN</t>
        </is>
      </c>
      <c r="G422" t="inlineStr">
        <is>
          <t>TINGSRYD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46120</v>
      </c>
      <c r="E423" s="1" t="n">
        <v>46295</v>
      </c>
      <c r="F423" t="inlineStr">
        <is>
          <t>KRONOBERGS LÄN</t>
        </is>
      </c>
      <c r="G423" t="inlineStr">
        <is>
          <t>TINGSRYD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8520-2025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45709</v>
      </c>
      <c r="E424" s="1" t="n">
        <v>46295</v>
      </c>
      <c r="F424" t="inlineStr">
        <is>
          <t>KRONOBERGS LÄN</t>
        </is>
      </c>
      <c r="G424" t="inlineStr">
        <is>
          <t>TINGSRYD</t>
        </is>
      </c>
      <c r="H424" t="inlineStr">
        <is>
          <t>Övriga Aktiebolag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20955-2024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45439</v>
      </c>
      <c r="E425" s="1" t="n">
        <v>46295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17479-2026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46120</v>
      </c>
      <c r="E426" s="1" t="n">
        <v>46295</v>
      </c>
      <c r="F426" t="inlineStr">
        <is>
          <t>KRONOBERGS LÄN</t>
        </is>
      </c>
      <c r="G426" t="inlineStr">
        <is>
          <t>TINGSRYD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46295</v>
      </c>
      <c r="F427" t="inlineStr">
        <is>
          <t>KRONOBERGS LÄN</t>
        </is>
      </c>
      <c r="G427" t="inlineStr">
        <is>
          <t>TINGSRYD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45229</v>
      </c>
      <c r="E428" s="1" t="n">
        <v>46295</v>
      </c>
      <c r="F428" t="inlineStr">
        <is>
          <t>KRONOBERGS LÄN</t>
        </is>
      </c>
      <c r="G428" t="inlineStr">
        <is>
          <t>TINGSRYD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46295</v>
      </c>
      <c r="F429" t="inlineStr">
        <is>
          <t>KRONOBERGS LÄN</t>
        </is>
      </c>
      <c r="G429" t="inlineStr">
        <is>
          <t>TINGSRYD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45075</v>
      </c>
      <c r="E430" s="1" t="n">
        <v>46295</v>
      </c>
      <c r="F430" t="inlineStr">
        <is>
          <t>KRONOBERGS LÄN</t>
        </is>
      </c>
      <c r="G430" t="inlineStr">
        <is>
          <t>TINGSRYD</t>
        </is>
      </c>
      <c r="H430" t="inlineStr">
        <is>
          <t>Kyrkan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46295</v>
      </c>
      <c r="F431" t="inlineStr">
        <is>
          <t>KRONOBERGS LÄN</t>
        </is>
      </c>
      <c r="G431" t="inlineStr">
        <is>
          <t>TINGSRYD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45107</v>
      </c>
      <c r="E432" s="1" t="n">
        <v>46295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15252-2026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46105</v>
      </c>
      <c r="E433" s="1" t="n">
        <v>46295</v>
      </c>
      <c r="F433" t="inlineStr">
        <is>
          <t>KRONOBERGS LÄN</t>
        </is>
      </c>
      <c r="G433" t="inlineStr">
        <is>
          <t>TINGSRYD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19052-2026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46132</v>
      </c>
      <c r="E434" s="1" t="n">
        <v>46295</v>
      </c>
      <c r="F434" t="inlineStr">
        <is>
          <t>KRONOBERGS LÄN</t>
        </is>
      </c>
      <c r="G434" t="inlineStr">
        <is>
          <t>TINGSRYD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19353-2026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46133</v>
      </c>
      <c r="E435" s="1" t="n">
        <v>46295</v>
      </c>
      <c r="F435" t="inlineStr">
        <is>
          <t>KRONOBERGS LÄN</t>
        </is>
      </c>
      <c r="G435" t="inlineStr">
        <is>
          <t>TINGSRYD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46295</v>
      </c>
      <c r="F436" t="inlineStr">
        <is>
          <t>KRONOBERGS LÄN</t>
        </is>
      </c>
      <c r="G436" t="inlineStr">
        <is>
          <t>TINGSRYD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45261</v>
      </c>
      <c r="E437" s="1" t="n">
        <v>46295</v>
      </c>
      <c r="F437" t="inlineStr">
        <is>
          <t>KRONOBERGS LÄN</t>
        </is>
      </c>
      <c r="G437" t="inlineStr">
        <is>
          <t>TINGSRYD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28640-2023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46295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43308-2023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45183</v>
      </c>
      <c r="E439" s="1" t="n">
        <v>46295</v>
      </c>
      <c r="F439" t="inlineStr">
        <is>
          <t>KRONOBERGS LÄN</t>
        </is>
      </c>
      <c r="G439" t="inlineStr">
        <is>
          <t>TINGSRYD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46133</v>
      </c>
      <c r="E440" s="1" t="n">
        <v>46295</v>
      </c>
      <c r="F440" t="inlineStr">
        <is>
          <t>KRONOBERGS LÄN</t>
        </is>
      </c>
      <c r="G440" t="inlineStr">
        <is>
          <t>TINGSRYD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57430-2021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44483</v>
      </c>
      <c r="E441" s="1" t="n">
        <v>46295</v>
      </c>
      <c r="F441" t="inlineStr">
        <is>
          <t>KRONOBERGS LÄN</t>
        </is>
      </c>
      <c r="G441" t="inlineStr">
        <is>
          <t>TINGSRYD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21508-2025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45782</v>
      </c>
      <c r="E442" s="1" t="n">
        <v>46295</v>
      </c>
      <c r="F442" t="inlineStr">
        <is>
          <t>KRONOBERGS LÄN</t>
        </is>
      </c>
      <c r="G442" t="inlineStr">
        <is>
          <t>TINGSRYD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45897</v>
      </c>
      <c r="E443" s="1" t="n">
        <v>46295</v>
      </c>
      <c r="F443" t="inlineStr">
        <is>
          <t>KRONOBERGS LÄN</t>
        </is>
      </c>
      <c r="G443" t="inlineStr">
        <is>
          <t>TINGSRYD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46295</v>
      </c>
      <c r="F444" t="inlineStr">
        <is>
          <t>KRONOBERGS LÄN</t>
        </is>
      </c>
      <c r="G444" t="inlineStr">
        <is>
          <t>TINGSRYD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40016-2024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45553</v>
      </c>
      <c r="E445" s="1" t="n">
        <v>46295</v>
      </c>
      <c r="F445" t="inlineStr">
        <is>
          <t>KRONOBERGS LÄN</t>
        </is>
      </c>
      <c r="G445" t="inlineStr">
        <is>
          <t>TINGSRYD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45803</v>
      </c>
      <c r="E446" s="1" t="n">
        <v>46295</v>
      </c>
      <c r="F446" t="inlineStr">
        <is>
          <t>KRONOBERGS LÄN</t>
        </is>
      </c>
      <c r="G446" t="inlineStr">
        <is>
          <t>TINGSRYD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40856-2025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45897</v>
      </c>
      <c r="E447" s="1" t="n">
        <v>46295</v>
      </c>
      <c r="F447" t="inlineStr">
        <is>
          <t>KRONOBERGS LÄN</t>
        </is>
      </c>
      <c r="G447" t="inlineStr">
        <is>
          <t>TINGSRYD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46072-2025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45924</v>
      </c>
      <c r="E448" s="1" t="n">
        <v>46295</v>
      </c>
      <c r="F448" t="inlineStr">
        <is>
          <t>KRONOBERGS LÄN</t>
        </is>
      </c>
      <c r="G448" t="inlineStr">
        <is>
          <t>TINGSRYD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17010-2023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45034</v>
      </c>
      <c r="E449" s="1" t="n">
        <v>46295</v>
      </c>
      <c r="F449" t="inlineStr">
        <is>
          <t>KRONOBERGS LÄN</t>
        </is>
      </c>
      <c r="G449" t="inlineStr">
        <is>
          <t>TINGSRYD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49739-2024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45596</v>
      </c>
      <c r="E450" s="1" t="n">
        <v>46295</v>
      </c>
      <c r="F450" t="inlineStr">
        <is>
          <t>KRONOBERGS LÄN</t>
        </is>
      </c>
      <c r="G450" t="inlineStr">
        <is>
          <t>TINGSRYD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40487-2023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46295</v>
      </c>
      <c r="F451" t="inlineStr">
        <is>
          <t>KRONOBERGS LÄN</t>
        </is>
      </c>
      <c r="G451" t="inlineStr">
        <is>
          <t>TINGSRYD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16955-2025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45755</v>
      </c>
      <c r="E452" s="1" t="n">
        <v>46295</v>
      </c>
      <c r="F452" t="inlineStr">
        <is>
          <t>KRONOBERGS LÄN</t>
        </is>
      </c>
      <c r="G452" t="inlineStr">
        <is>
          <t>TINGSRYD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63938-2025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46295</v>
      </c>
      <c r="F453" t="inlineStr">
        <is>
          <t>KRONOBERGS LÄN</t>
        </is>
      </c>
      <c r="G453" t="inlineStr">
        <is>
          <t>TINGSRYD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45742</v>
      </c>
      <c r="E454" s="1" t="n">
        <v>46295</v>
      </c>
      <c r="F454" t="inlineStr">
        <is>
          <t>KRONOBERGS LÄN</t>
        </is>
      </c>
      <c r="G454" t="inlineStr">
        <is>
          <t>TINGSRYD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42765-2025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46295</v>
      </c>
      <c r="F455" t="inlineStr">
        <is>
          <t>KRONOBERGS LÄN</t>
        </is>
      </c>
      <c r="G455" t="inlineStr">
        <is>
          <t>TINGSRYD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45884</v>
      </c>
      <c r="E456" s="1" t="n">
        <v>46295</v>
      </c>
      <c r="F456" t="inlineStr">
        <is>
          <t>KRONOBERGS LÄN</t>
        </is>
      </c>
      <c r="G456" t="inlineStr">
        <is>
          <t>TINGSRYD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46295</v>
      </c>
      <c r="F457" t="inlineStr">
        <is>
          <t>KRONOBERGS LÄN</t>
        </is>
      </c>
      <c r="G457" t="inlineStr">
        <is>
          <t>TINGSRYD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48157-2025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45933</v>
      </c>
      <c r="E458" s="1" t="n">
        <v>46295</v>
      </c>
      <c r="F458" t="inlineStr">
        <is>
          <t>KRONOBERGS LÄN</t>
        </is>
      </c>
      <c r="G458" t="inlineStr">
        <is>
          <t>TINGSRYD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46295</v>
      </c>
      <c r="F459" t="inlineStr">
        <is>
          <t>KRONOBERGS LÄN</t>
        </is>
      </c>
      <c r="G459" t="inlineStr">
        <is>
          <t>TINGSRYD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19935-2026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46136</v>
      </c>
      <c r="E460" s="1" t="n">
        <v>46295</v>
      </c>
      <c r="F460" t="inlineStr">
        <is>
          <t>KRONOBERGS LÄN</t>
        </is>
      </c>
      <c r="G460" t="inlineStr">
        <is>
          <t>TINGSRYD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58859-2022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44895</v>
      </c>
      <c r="E461" s="1" t="n">
        <v>46295</v>
      </c>
      <c r="F461" t="inlineStr">
        <is>
          <t>KRONOBERGS LÄN</t>
        </is>
      </c>
      <c r="G461" t="inlineStr">
        <is>
          <t>TINGSRYD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45330</v>
      </c>
      <c r="E462" s="1" t="n">
        <v>46295</v>
      </c>
      <c r="F462" t="inlineStr">
        <is>
          <t>KRONOBERGS LÄN</t>
        </is>
      </c>
      <c r="G462" t="inlineStr">
        <is>
          <t>TINGSRYD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31765-2025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46295</v>
      </c>
      <c r="F463" t="inlineStr">
        <is>
          <t>KRONOBERGS LÄN</t>
        </is>
      </c>
      <c r="G463" t="inlineStr">
        <is>
          <t>TINGSRYD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45841</v>
      </c>
      <c r="E464" s="1" t="n">
        <v>46295</v>
      </c>
      <c r="F464" t="inlineStr">
        <is>
          <t>KRONOBERGS LÄN</t>
        </is>
      </c>
      <c r="G464" t="inlineStr">
        <is>
          <t>TINGSRYD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46003</v>
      </c>
      <c r="E465" s="1" t="n">
        <v>46295</v>
      </c>
      <c r="F465" t="inlineStr">
        <is>
          <t>KRONOBERGS LÄN</t>
        </is>
      </c>
      <c r="G465" t="inlineStr">
        <is>
          <t>TINGSRYD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5474-2023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44960</v>
      </c>
      <c r="E466" s="1" t="n">
        <v>46295</v>
      </c>
      <c r="F466" t="inlineStr">
        <is>
          <t>KRONOBERGS LÄN</t>
        </is>
      </c>
      <c r="G466" t="inlineStr">
        <is>
          <t>TINGSRYD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44967</v>
      </c>
      <c r="E467" s="1" t="n">
        <v>46295</v>
      </c>
      <c r="F467" t="inlineStr">
        <is>
          <t>KRONOBERGS LÄN</t>
        </is>
      </c>
      <c r="G467" t="inlineStr">
        <is>
          <t>TINGSRYD</t>
        </is>
      </c>
      <c r="H467" t="inlineStr">
        <is>
          <t>Övriga Aktiebolag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45711</v>
      </c>
      <c r="E468" s="1" t="n">
        <v>46295</v>
      </c>
      <c r="F468" t="inlineStr">
        <is>
          <t>KRONOBERGS LÄN</t>
        </is>
      </c>
      <c r="G468" t="inlineStr">
        <is>
          <t>TINGSRYD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46295</v>
      </c>
      <c r="F469" t="inlineStr">
        <is>
          <t>KRONOBERGS LÄN</t>
        </is>
      </c>
      <c r="G469" t="inlineStr">
        <is>
          <t>TINGSRYD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46558-2025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45926</v>
      </c>
      <c r="E470" s="1" t="n">
        <v>46295</v>
      </c>
      <c r="F470" t="inlineStr">
        <is>
          <t>KRONOBERGS LÄN</t>
        </is>
      </c>
      <c r="G470" t="inlineStr">
        <is>
          <t>TINGSRYD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45370</v>
      </c>
      <c r="E471" s="1" t="n">
        <v>46295</v>
      </c>
      <c r="F471" t="inlineStr">
        <is>
          <t>KRONOBERGS LÄN</t>
        </is>
      </c>
      <c r="G471" t="inlineStr">
        <is>
          <t>TINGSRYD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39485-2025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45890</v>
      </c>
      <c r="E472" s="1" t="n">
        <v>46295</v>
      </c>
      <c r="F472" t="inlineStr">
        <is>
          <t>KRONOBERGS LÄN</t>
        </is>
      </c>
      <c r="G472" t="inlineStr">
        <is>
          <t>TINGSRYD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56001-2023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45240</v>
      </c>
      <c r="E473" s="1" t="n">
        <v>46295</v>
      </c>
      <c r="F473" t="inlineStr">
        <is>
          <t>KRONOBERGS LÄN</t>
        </is>
      </c>
      <c r="G473" t="inlineStr">
        <is>
          <t>TINGSRYD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45299</v>
      </c>
      <c r="E474" s="1" t="n">
        <v>46295</v>
      </c>
      <c r="F474" t="inlineStr">
        <is>
          <t>KRONOBERGS LÄN</t>
        </is>
      </c>
      <c r="G474" t="inlineStr">
        <is>
          <t>TINGSRYD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4636-2023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44953</v>
      </c>
      <c r="E475" s="1" t="n">
        <v>46295</v>
      </c>
      <c r="F475" t="inlineStr">
        <is>
          <t>KRONOBERGS LÄN</t>
        </is>
      </c>
      <c r="G475" t="inlineStr">
        <is>
          <t>TINGSRYD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60545-2022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46295</v>
      </c>
      <c r="F476" t="inlineStr">
        <is>
          <t>KRONOBERGS LÄN</t>
        </is>
      </c>
      <c r="G476" t="inlineStr">
        <is>
          <t>TINGSRYD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41833-2025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45902</v>
      </c>
      <c r="E477" s="1" t="n">
        <v>46295</v>
      </c>
      <c r="F477" t="inlineStr">
        <is>
          <t>KRONOBERGS LÄN</t>
        </is>
      </c>
      <c r="G477" t="inlineStr">
        <is>
          <t>TINGSRYD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4357-2024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45325</v>
      </c>
      <c r="E478" s="1" t="n">
        <v>46295</v>
      </c>
      <c r="F478" t="inlineStr">
        <is>
          <t>KRONOBERGS LÄN</t>
        </is>
      </c>
      <c r="G478" t="inlineStr">
        <is>
          <t>TINGSRYD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46295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41998-2025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45903</v>
      </c>
      <c r="E480" s="1" t="n">
        <v>46295</v>
      </c>
      <c r="F480" t="inlineStr">
        <is>
          <t>KRONOBERGS LÄN</t>
        </is>
      </c>
      <c r="G480" t="inlineStr">
        <is>
          <t>TINGSRYD</t>
        </is>
      </c>
      <c r="H480" t="inlineStr">
        <is>
          <t>Övriga Aktiebolag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44949</v>
      </c>
      <c r="E481" s="1" t="n">
        <v>46295</v>
      </c>
      <c r="F481" t="inlineStr">
        <is>
          <t>KRONOBERGS LÄN</t>
        </is>
      </c>
      <c r="G481" t="inlineStr">
        <is>
          <t>TINGSRYD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46295</v>
      </c>
      <c r="F482" t="inlineStr">
        <is>
          <t>KRONOBERGS LÄN</t>
        </is>
      </c>
      <c r="G482" t="inlineStr">
        <is>
          <t>TINGSRYD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13191-2023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45002</v>
      </c>
      <c r="E483" s="1" t="n">
        <v>46295</v>
      </c>
      <c r="F483" t="inlineStr">
        <is>
          <t>KRONOBERGS LÄN</t>
        </is>
      </c>
      <c r="G483" t="inlineStr">
        <is>
          <t>TINGSRYD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45314</v>
      </c>
      <c r="E484" s="1" t="n">
        <v>46295</v>
      </c>
      <c r="F484" t="inlineStr">
        <is>
          <t>KRONOBERGS LÄN</t>
        </is>
      </c>
      <c r="G484" t="inlineStr">
        <is>
          <t>TINGSRYD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21508-2023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45063</v>
      </c>
      <c r="E485" s="1" t="n">
        <v>46295</v>
      </c>
      <c r="F485" t="inlineStr">
        <is>
          <t>KRONOBERGS LÄN</t>
        </is>
      </c>
      <c r="G485" t="inlineStr">
        <is>
          <t>TINGSRYD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13966-2024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46295</v>
      </c>
      <c r="F486" t="inlineStr">
        <is>
          <t>KRONOBERGS LÄN</t>
        </is>
      </c>
      <c r="G486" t="inlineStr">
        <is>
          <t>TINGSRYD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46295</v>
      </c>
      <c r="F487" t="inlineStr">
        <is>
          <t>KRONOBERGS LÄN</t>
        </is>
      </c>
      <c r="G487" t="inlineStr">
        <is>
          <t>TINGSRYD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45275</v>
      </c>
      <c r="E488" s="1" t="n">
        <v>46295</v>
      </c>
      <c r="F488" t="inlineStr">
        <is>
          <t>KRONOBERGS LÄN</t>
        </is>
      </c>
      <c r="G488" t="inlineStr">
        <is>
          <t>TINGSRYD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43858-2022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44838</v>
      </c>
      <c r="E489" s="1" t="n">
        <v>46295</v>
      </c>
      <c r="F489" t="inlineStr">
        <is>
          <t>KRONOBERGS LÄN</t>
        </is>
      </c>
      <c r="G489" t="inlineStr">
        <is>
          <t>TINGSRYD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72447-2021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44545</v>
      </c>
      <c r="E490" s="1" t="n">
        <v>46295</v>
      </c>
      <c r="F490" t="inlineStr">
        <is>
          <t>KRONOBERGS LÄN</t>
        </is>
      </c>
      <c r="G490" t="inlineStr">
        <is>
          <t>TINGSRYD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44945</v>
      </c>
      <c r="E491" s="1" t="n">
        <v>46295</v>
      </c>
      <c r="F491" t="inlineStr">
        <is>
          <t>KRONOBERGS LÄN</t>
        </is>
      </c>
      <c r="G491" t="inlineStr">
        <is>
          <t>TINGSRYD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67565-2021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44524</v>
      </c>
      <c r="E492" s="1" t="n">
        <v>46295</v>
      </c>
      <c r="F492" t="inlineStr">
        <is>
          <t>KRONOBERGS LÄN</t>
        </is>
      </c>
      <c r="G492" t="inlineStr">
        <is>
          <t>TINGSRYD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54136-2022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44881</v>
      </c>
      <c r="E493" s="1" t="n">
        <v>46295</v>
      </c>
      <c r="F493" t="inlineStr">
        <is>
          <t>KRONOBERGS LÄN</t>
        </is>
      </c>
      <c r="G493" t="inlineStr">
        <is>
          <t>TINGSRYD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36783-2025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45873</v>
      </c>
      <c r="E494" s="1" t="n">
        <v>46295</v>
      </c>
      <c r="F494" t="inlineStr">
        <is>
          <t>KRONOBERGS LÄN</t>
        </is>
      </c>
      <c r="G494" t="inlineStr">
        <is>
          <t>TINGSRYD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18379-2024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45424</v>
      </c>
      <c r="E495" s="1" t="n">
        <v>46295</v>
      </c>
      <c r="F495" t="inlineStr">
        <is>
          <t>KRONOBERGS LÄN</t>
        </is>
      </c>
      <c r="G495" t="inlineStr">
        <is>
          <t>TINGSRYD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15391-2023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45019</v>
      </c>
      <c r="E496" s="1" t="n">
        <v>46295</v>
      </c>
      <c r="F496" t="inlineStr">
        <is>
          <t>KRONOBERGS LÄN</t>
        </is>
      </c>
      <c r="G496" t="inlineStr">
        <is>
          <t>TINGSRYD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44930</v>
      </c>
      <c r="E497" s="1" t="n">
        <v>46295</v>
      </c>
      <c r="F497" t="inlineStr">
        <is>
          <t>KRONOBERGS LÄN</t>
        </is>
      </c>
      <c r="G497" t="inlineStr">
        <is>
          <t>TINGSRYD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19310-2023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45049</v>
      </c>
      <c r="E498" s="1" t="n">
        <v>46295</v>
      </c>
      <c r="F498" t="inlineStr">
        <is>
          <t>KRONOBERGS LÄN</t>
        </is>
      </c>
      <c r="G498" t="inlineStr">
        <is>
          <t>TINGSRYD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45097</v>
      </c>
      <c r="E499" s="1" t="n">
        <v>46295</v>
      </c>
      <c r="F499" t="inlineStr">
        <is>
          <t>KRONOBERGS LÄN</t>
        </is>
      </c>
      <c r="G499" t="inlineStr">
        <is>
          <t>TINGSRYD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45992</v>
      </c>
      <c r="E500" s="1" t="n">
        <v>46295</v>
      </c>
      <c r="F500" t="inlineStr">
        <is>
          <t>KRONOBERGS LÄN</t>
        </is>
      </c>
      <c r="G500" t="inlineStr">
        <is>
          <t>TINGSRYD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20297-2026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46295</v>
      </c>
      <c r="F501" t="inlineStr">
        <is>
          <t>KRONOBERGS LÄN</t>
        </is>
      </c>
      <c r="G501" t="inlineStr">
        <is>
          <t>TINGSRYD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38595-2024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45546</v>
      </c>
      <c r="E502" s="1" t="n">
        <v>46295</v>
      </c>
      <c r="F502" t="inlineStr">
        <is>
          <t>KRONOBERGS LÄN</t>
        </is>
      </c>
      <c r="G502" t="inlineStr">
        <is>
          <t>TINGSRYD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28965-2025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45821</v>
      </c>
      <c r="E503" s="1" t="n">
        <v>46295</v>
      </c>
      <c r="F503" t="inlineStr">
        <is>
          <t>KRONOBERGS LÄN</t>
        </is>
      </c>
      <c r="G503" t="inlineStr">
        <is>
          <t>TINGSRYD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46295</v>
      </c>
      <c r="F504" t="inlineStr">
        <is>
          <t>KRONOBERGS LÄN</t>
        </is>
      </c>
      <c r="G504" t="inlineStr">
        <is>
          <t>TINGSRYD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44964</v>
      </c>
      <c r="E505" s="1" t="n">
        <v>46295</v>
      </c>
      <c r="F505" t="inlineStr">
        <is>
          <t>KRONOBERGS LÄN</t>
        </is>
      </c>
      <c r="G505" t="inlineStr">
        <is>
          <t>TINGSRYD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17130-2025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45755</v>
      </c>
      <c r="E506" s="1" t="n">
        <v>46295</v>
      </c>
      <c r="F506" t="inlineStr">
        <is>
          <t>KRONOBERGS LÄN</t>
        </is>
      </c>
      <c r="G506" t="inlineStr">
        <is>
          <t>TINGSRYD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58199-2023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45250</v>
      </c>
      <c r="E507" s="1" t="n">
        <v>46295</v>
      </c>
      <c r="F507" t="inlineStr">
        <is>
          <t>KRONOBERGS LÄN</t>
        </is>
      </c>
      <c r="G507" t="inlineStr">
        <is>
          <t>TINGSRYD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39150-2023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46295</v>
      </c>
      <c r="F508" t="inlineStr">
        <is>
          <t>KRONOBERGS LÄN</t>
        </is>
      </c>
      <c r="G508" t="inlineStr">
        <is>
          <t>TINGSRYD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45546</v>
      </c>
      <c r="E509" s="1" t="n">
        <v>46295</v>
      </c>
      <c r="F509" t="inlineStr">
        <is>
          <t>KRONOBERGS LÄN</t>
        </is>
      </c>
      <c r="G509" t="inlineStr">
        <is>
          <t>TINGSRYD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45278</v>
      </c>
      <c r="E510" s="1" t="n">
        <v>46295</v>
      </c>
      <c r="F510" t="inlineStr">
        <is>
          <t>KRONOBERGS LÄN</t>
        </is>
      </c>
      <c r="G510" t="inlineStr">
        <is>
          <t>TINGSRYD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74236-2021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44558</v>
      </c>
      <c r="E511" s="1" t="n">
        <v>46295</v>
      </c>
      <c r="F511" t="inlineStr">
        <is>
          <t>KRONOBERGS LÄN</t>
        </is>
      </c>
      <c r="G511" t="inlineStr">
        <is>
          <t>TINGSRYD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71388-2021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44540</v>
      </c>
      <c r="E512" s="1" t="n">
        <v>46295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46295</v>
      </c>
      <c r="F513" t="inlineStr">
        <is>
          <t>KRONOBERGS LÄN</t>
        </is>
      </c>
      <c r="G513" t="inlineStr">
        <is>
          <t>TINGSRYD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46295</v>
      </c>
      <c r="F514" t="inlineStr">
        <is>
          <t>KRONOBERGS LÄN</t>
        </is>
      </c>
      <c r="G514" t="inlineStr">
        <is>
          <t>TINGSRYD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44575</v>
      </c>
      <c r="E515" s="1" t="n">
        <v>46295</v>
      </c>
      <c r="F515" t="inlineStr">
        <is>
          <t>KRONOBERGS LÄN</t>
        </is>
      </c>
      <c r="G515" t="inlineStr">
        <is>
          <t>TINGSRYD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44620</v>
      </c>
      <c r="E516" s="1" t="n">
        <v>46295</v>
      </c>
      <c r="F516" t="inlineStr">
        <is>
          <t>KRONOBERGS LÄN</t>
        </is>
      </c>
      <c r="G516" t="inlineStr">
        <is>
          <t>TINGSRYD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45160</v>
      </c>
      <c r="E517" s="1" t="n">
        <v>46295</v>
      </c>
      <c r="F517" t="inlineStr">
        <is>
          <t>KRONOBERGS LÄN</t>
        </is>
      </c>
      <c r="G517" t="inlineStr">
        <is>
          <t>TINGSRYD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63448-2023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45274</v>
      </c>
      <c r="E518" s="1" t="n">
        <v>46295</v>
      </c>
      <c r="F518" t="inlineStr">
        <is>
          <t>KRONOBERGS LÄN</t>
        </is>
      </c>
      <c r="G518" t="inlineStr">
        <is>
          <t>TINGSRYD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42167-2025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45904</v>
      </c>
      <c r="E519" s="1" t="n">
        <v>46295</v>
      </c>
      <c r="F519" t="inlineStr">
        <is>
          <t>KRONOBERGS LÄN</t>
        </is>
      </c>
      <c r="G519" t="inlineStr">
        <is>
          <t>TINGSRYD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37130-2023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45155</v>
      </c>
      <c r="E520" s="1" t="n">
        <v>46295</v>
      </c>
      <c r="F520" t="inlineStr">
        <is>
          <t>KRONOBERGS LÄN</t>
        </is>
      </c>
      <c r="G520" t="inlineStr">
        <is>
          <t>TINGSRYD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37184-2023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45155</v>
      </c>
      <c r="E521" s="1" t="n">
        <v>46295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58566-2024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45635</v>
      </c>
      <c r="E522" s="1" t="n">
        <v>46295</v>
      </c>
      <c r="F522" t="inlineStr">
        <is>
          <t>KRONOBERGS LÄN</t>
        </is>
      </c>
      <c r="G522" t="inlineStr">
        <is>
          <t>TINGSRYD</t>
        </is>
      </c>
      <c r="H522" t="inlineStr">
        <is>
          <t>Övriga Aktiebolag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37424-2024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45540</v>
      </c>
      <c r="E523" s="1" t="n">
        <v>46295</v>
      </c>
      <c r="F523" t="inlineStr">
        <is>
          <t>KRONOBERGS LÄN</t>
        </is>
      </c>
      <c r="G523" t="inlineStr">
        <is>
          <t>TINGSRYD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57959-2024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45631</v>
      </c>
      <c r="E524" s="1" t="n">
        <v>46295</v>
      </c>
      <c r="F524" t="inlineStr">
        <is>
          <t>KRONOBERGS LÄN</t>
        </is>
      </c>
      <c r="G524" t="inlineStr">
        <is>
          <t>TINGSRYD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45758</v>
      </c>
      <c r="E525" s="1" t="n">
        <v>46295</v>
      </c>
      <c r="F525" t="inlineStr">
        <is>
          <t>KRONOBERGS LÄN</t>
        </is>
      </c>
      <c r="G525" t="inlineStr">
        <is>
          <t>TINGSRYD</t>
        </is>
      </c>
      <c r="H525" t="inlineStr">
        <is>
          <t>Övriga Aktiebolag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44795</v>
      </c>
      <c r="E526" s="1" t="n">
        <v>46295</v>
      </c>
      <c r="F526" t="inlineStr">
        <is>
          <t>KRONOBERGS LÄN</t>
        </is>
      </c>
      <c r="G526" t="inlineStr">
        <is>
          <t>TINGSRYD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16854-2023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45033</v>
      </c>
      <c r="E527" s="1" t="n">
        <v>46295</v>
      </c>
      <c r="F527" t="inlineStr">
        <is>
          <t>KRONOBERGS LÄN</t>
        </is>
      </c>
      <c r="G527" t="inlineStr">
        <is>
          <t>TINGSRYD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44570</v>
      </c>
      <c r="E528" s="1" t="n">
        <v>46295</v>
      </c>
      <c r="F528" t="inlineStr">
        <is>
          <t>KRONOBERGS LÄN</t>
        </is>
      </c>
      <c r="G528" t="inlineStr">
        <is>
          <t>TINGSRYD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73272-2021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44550</v>
      </c>
      <c r="E529" s="1" t="n">
        <v>46295</v>
      </c>
      <c r="F529" t="inlineStr">
        <is>
          <t>KRONOBERGS LÄN</t>
        </is>
      </c>
      <c r="G529" t="inlineStr">
        <is>
          <t>TINGSRYD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29898-2023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45107</v>
      </c>
      <c r="E530" s="1" t="n">
        <v>46295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3624-2022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44586</v>
      </c>
      <c r="E531" s="1" t="n">
        <v>46295</v>
      </c>
      <c r="F531" t="inlineStr">
        <is>
          <t>KRONOBERGS LÄN</t>
        </is>
      </c>
      <c r="G531" t="inlineStr">
        <is>
          <t>TINGSRYD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21446-2026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46148</v>
      </c>
      <c r="E532" s="1" t="n">
        <v>46295</v>
      </c>
      <c r="F532" t="inlineStr">
        <is>
          <t>KRONOBERGS LÄN</t>
        </is>
      </c>
      <c r="G532" t="inlineStr">
        <is>
          <t>TINGSRYD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21447-2026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46295</v>
      </c>
      <c r="F533" t="inlineStr">
        <is>
          <t>KRONOBERGS LÄN</t>
        </is>
      </c>
      <c r="G533" t="inlineStr">
        <is>
          <t>TINGSRYD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57989-2024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45631</v>
      </c>
      <c r="E534" s="1" t="n">
        <v>46295</v>
      </c>
      <c r="F534" t="inlineStr">
        <is>
          <t>KRONOBERGS LÄN</t>
        </is>
      </c>
      <c r="G534" t="inlineStr">
        <is>
          <t>TINGSRYD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36337-2023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45152</v>
      </c>
      <c r="E535" s="1" t="n">
        <v>46295</v>
      </c>
      <c r="F535" t="inlineStr">
        <is>
          <t>KRONOBERGS LÄN</t>
        </is>
      </c>
      <c r="G535" t="inlineStr">
        <is>
          <t>TINGSRYD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21706-2026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46149</v>
      </c>
      <c r="E536" s="1" t="n">
        <v>46295</v>
      </c>
      <c r="F536" t="inlineStr">
        <is>
          <t>KRONOBERGS LÄN</t>
        </is>
      </c>
      <c r="G536" t="inlineStr">
        <is>
          <t>TINGSRYD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24015-2023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45078</v>
      </c>
      <c r="E537" s="1" t="n">
        <v>46295</v>
      </c>
      <c r="F537" t="inlineStr">
        <is>
          <t>KRONOBERGS LÄN</t>
        </is>
      </c>
      <c r="G537" t="inlineStr">
        <is>
          <t>TINGSRYD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11533-2025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45727</v>
      </c>
      <c r="E538" s="1" t="n">
        <v>46295</v>
      </c>
      <c r="F538" t="inlineStr">
        <is>
          <t>KRONOBERGS LÄN</t>
        </is>
      </c>
      <c r="G538" t="inlineStr">
        <is>
          <t>TINGSRYD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22413-2026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46154</v>
      </c>
      <c r="E539" s="1" t="n">
        <v>46295</v>
      </c>
      <c r="F539" t="inlineStr">
        <is>
          <t>KRONOBERGS LÄN</t>
        </is>
      </c>
      <c r="G539" t="inlineStr">
        <is>
          <t>TINGSRYD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17931-2022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44683</v>
      </c>
      <c r="E540" s="1" t="n">
        <v>46295</v>
      </c>
      <c r="F540" t="inlineStr">
        <is>
          <t>KRONOBERGS LÄN</t>
        </is>
      </c>
      <c r="G540" t="inlineStr">
        <is>
          <t>TINGSRYD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54702-2024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45618</v>
      </c>
      <c r="E541" s="1" t="n">
        <v>46295</v>
      </c>
      <c r="F541" t="inlineStr">
        <is>
          <t>KRONOBERGS LÄN</t>
        </is>
      </c>
      <c r="G541" t="inlineStr">
        <is>
          <t>TINGSRYD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45408</v>
      </c>
      <c r="E542" s="1" t="n">
        <v>46295</v>
      </c>
      <c r="F542" t="inlineStr">
        <is>
          <t>KRONOBERGS LÄN</t>
        </is>
      </c>
      <c r="G542" t="inlineStr">
        <is>
          <t>TINGSRYD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42095-2023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45175</v>
      </c>
      <c r="E543" s="1" t="n">
        <v>46295</v>
      </c>
      <c r="F543" t="inlineStr">
        <is>
          <t>KRONOBERGS LÄN</t>
        </is>
      </c>
      <c r="G543" t="inlineStr">
        <is>
          <t>TINGSRYD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47550-2023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45203</v>
      </c>
      <c r="E544" s="1" t="n">
        <v>46295</v>
      </c>
      <c r="F544" t="inlineStr">
        <is>
          <t>KRONOBERGS LÄN</t>
        </is>
      </c>
      <c r="G544" t="inlineStr">
        <is>
          <t>TINGSRYD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46043</v>
      </c>
      <c r="E545" s="1" t="n">
        <v>46295</v>
      </c>
      <c r="F545" t="inlineStr">
        <is>
          <t>KRONOBERGS LÄN</t>
        </is>
      </c>
      <c r="G545" t="inlineStr">
        <is>
          <t>TINGSRYD</t>
        </is>
      </c>
      <c r="H545" t="inlineStr">
        <is>
          <t>Kommuner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24429-2023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45082</v>
      </c>
      <c r="E546" s="1" t="n">
        <v>46295</v>
      </c>
      <c r="F546" t="inlineStr">
        <is>
          <t>KRONOBERGS LÄN</t>
        </is>
      </c>
      <c r="G546" t="inlineStr">
        <is>
          <t>TINGSRYD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46295</v>
      </c>
      <c r="F547" t="inlineStr">
        <is>
          <t>KRONOBERGS LÄN</t>
        </is>
      </c>
      <c r="G547" t="inlineStr">
        <is>
          <t>TINGSRYD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41835-2025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45902</v>
      </c>
      <c r="E548" s="1" t="n">
        <v>46295</v>
      </c>
      <c r="F548" t="inlineStr">
        <is>
          <t>KRONOBERGS LÄN</t>
        </is>
      </c>
      <c r="G548" t="inlineStr">
        <is>
          <t>TINGSRYD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45106</v>
      </c>
      <c r="E549" s="1" t="n">
        <v>46295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6669-2025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46295</v>
      </c>
      <c r="F550" t="inlineStr">
        <is>
          <t>KRONOBERGS LÄN</t>
        </is>
      </c>
      <c r="G550" t="inlineStr">
        <is>
          <t>TINGSRYD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45085</v>
      </c>
      <c r="E551" s="1" t="n">
        <v>46295</v>
      </c>
      <c r="F551" t="inlineStr">
        <is>
          <t>KRONOBERGS LÄN</t>
        </is>
      </c>
      <c r="G551" t="inlineStr">
        <is>
          <t>TINGSRYD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45107</v>
      </c>
      <c r="E552" s="1" t="n">
        <v>46295</v>
      </c>
      <c r="F552" t="inlineStr">
        <is>
          <t>KRONOBERGS LÄN</t>
        </is>
      </c>
      <c r="G552" t="inlineStr">
        <is>
          <t>TINGSRYD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46160</v>
      </c>
      <c r="E553" s="1" t="n">
        <v>46295</v>
      </c>
      <c r="F553" t="inlineStr">
        <is>
          <t>KRONOBERGS LÄN</t>
        </is>
      </c>
      <c r="G553" t="inlineStr">
        <is>
          <t>TINGSRYD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10881-2022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44627</v>
      </c>
      <c r="E554" s="1" t="n">
        <v>46295</v>
      </c>
      <c r="F554" t="inlineStr">
        <is>
          <t>KRONOBERGS LÄN</t>
        </is>
      </c>
      <c r="G554" t="inlineStr">
        <is>
          <t>TINGSRYD</t>
        </is>
      </c>
      <c r="I554" t="n">
        <v>6.1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10613-2022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44624</v>
      </c>
      <c r="E555" s="1" t="n">
        <v>46295</v>
      </c>
      <c r="F555" t="inlineStr">
        <is>
          <t>KRONOBERGS LÄN</t>
        </is>
      </c>
      <c r="G555" t="inlineStr">
        <is>
          <t>TINGSRYD</t>
        </is>
      </c>
      <c r="I555" t="n">
        <v>7.1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38853-2024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45547</v>
      </c>
      <c r="E556" s="1" t="n">
        <v>46295</v>
      </c>
      <c r="F556" t="inlineStr">
        <is>
          <t>KRONOBERGS LÄN</t>
        </is>
      </c>
      <c r="G556" t="inlineStr">
        <is>
          <t>TINGSRYD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45176</v>
      </c>
      <c r="E557" s="1" t="n">
        <v>46295</v>
      </c>
      <c r="F557" t="inlineStr">
        <is>
          <t>KRONOBERGS LÄN</t>
        </is>
      </c>
      <c r="G557" t="inlineStr">
        <is>
          <t>TINGSRYD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49979-2023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46295</v>
      </c>
      <c r="F558" t="inlineStr">
        <is>
          <t>KRONOBERGS LÄN</t>
        </is>
      </c>
      <c r="G558" t="inlineStr">
        <is>
          <t>TINGSRYD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52430-2024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45609</v>
      </c>
      <c r="E559" s="1" t="n">
        <v>46295</v>
      </c>
      <c r="F559" t="inlineStr">
        <is>
          <t>KRONOBERGS LÄN</t>
        </is>
      </c>
      <c r="G559" t="inlineStr">
        <is>
          <t>TINGSRYD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10009-2022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44621</v>
      </c>
      <c r="E560" s="1" t="n">
        <v>46295</v>
      </c>
      <c r="F560" t="inlineStr">
        <is>
          <t>KRONOBERGS LÄN</t>
        </is>
      </c>
      <c r="G560" t="inlineStr">
        <is>
          <t>TINGSRYD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8789-2022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44614</v>
      </c>
      <c r="E561" s="1" t="n">
        <v>46295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44679-2024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45574</v>
      </c>
      <c r="E562" s="1" t="n">
        <v>46295</v>
      </c>
      <c r="F562" t="inlineStr">
        <is>
          <t>KRONOBERGS LÄN</t>
        </is>
      </c>
      <c r="G562" t="inlineStr">
        <is>
          <t>TINGSRYD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49071-2023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45210</v>
      </c>
      <c r="E563" s="1" t="n">
        <v>46295</v>
      </c>
      <c r="F563" t="inlineStr">
        <is>
          <t>KRONOBERGS LÄN</t>
        </is>
      </c>
      <c r="G563" t="inlineStr">
        <is>
          <t>TINGSRYD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46295</v>
      </c>
      <c r="F564" t="inlineStr">
        <is>
          <t>KRONOBERGS LÄN</t>
        </is>
      </c>
      <c r="G564" t="inlineStr">
        <is>
          <t>TINGSRYD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49987-2023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45215</v>
      </c>
      <c r="E565" s="1" t="n">
        <v>46295</v>
      </c>
      <c r="F565" t="inlineStr">
        <is>
          <t>KRONOBERGS LÄN</t>
        </is>
      </c>
      <c r="G565" t="inlineStr">
        <is>
          <t>TINGSRYD</t>
        </is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35661-2023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46295</v>
      </c>
      <c r="F566" t="inlineStr">
        <is>
          <t>KRONOBERGS LÄN</t>
        </is>
      </c>
      <c r="G566" t="inlineStr">
        <is>
          <t>TINGSRYD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34209-2023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45138</v>
      </c>
      <c r="E567" s="1" t="n">
        <v>46295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8919-2025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45713</v>
      </c>
      <c r="E568" s="1" t="n">
        <v>46295</v>
      </c>
      <c r="F568" t="inlineStr">
        <is>
          <t>KRONOBERGS LÄN</t>
        </is>
      </c>
      <c r="G568" t="inlineStr">
        <is>
          <t>TINGSRYD</t>
        </is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45090</v>
      </c>
      <c r="E569" s="1" t="n">
        <v>46295</v>
      </c>
      <c r="F569" t="inlineStr">
        <is>
          <t>KRONOBERGS LÄN</t>
        </is>
      </c>
      <c r="G569" t="inlineStr">
        <is>
          <t>TINGSRYD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44820</v>
      </c>
      <c r="E570" s="1" t="n">
        <v>46295</v>
      </c>
      <c r="F570" t="inlineStr">
        <is>
          <t>KRONOBERGS LÄN</t>
        </is>
      </c>
      <c r="G570" t="inlineStr">
        <is>
          <t>TINGSRYD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45635</v>
      </c>
      <c r="E571" s="1" t="n">
        <v>46295</v>
      </c>
      <c r="F571" t="inlineStr">
        <is>
          <t>KRONOBERGS LÄN</t>
        </is>
      </c>
      <c r="G571" t="inlineStr">
        <is>
          <t>TINGSRYD</t>
        </is>
      </c>
      <c r="H571" t="inlineStr">
        <is>
          <t>Övriga Aktiebolag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46295</v>
      </c>
      <c r="F572" t="inlineStr">
        <is>
          <t>KRONOBERGS LÄN</t>
        </is>
      </c>
      <c r="G572" t="inlineStr">
        <is>
          <t>TINGSRYD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46295</v>
      </c>
      <c r="F573" t="inlineStr">
        <is>
          <t>KRONOBERGS LÄN</t>
        </is>
      </c>
      <c r="G573" t="inlineStr">
        <is>
          <t>TINGSRYD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23948-2026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46167</v>
      </c>
      <c r="E574" s="1" t="n">
        <v>46295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56890-2023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45244</v>
      </c>
      <c r="E575" s="1" t="n">
        <v>46295</v>
      </c>
      <c r="F575" t="inlineStr">
        <is>
          <t>KRONOBERGS LÄN</t>
        </is>
      </c>
      <c r="G575" t="inlineStr">
        <is>
          <t>TINGSRYD</t>
        </is>
      </c>
      <c r="I575" t="n">
        <v>14.7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44751-2024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45574</v>
      </c>
      <c r="E576" s="1" t="n">
        <v>46295</v>
      </c>
      <c r="F576" t="inlineStr">
        <is>
          <t>KRONOBERGS LÄN</t>
        </is>
      </c>
      <c r="G576" t="inlineStr">
        <is>
          <t>TINGSRYD</t>
        </is>
      </c>
      <c r="I576" t="n">
        <v>10.6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46295</v>
      </c>
      <c r="F577" t="inlineStr">
        <is>
          <t>KRONOBERGS LÄN</t>
        </is>
      </c>
      <c r="G577" t="inlineStr">
        <is>
          <t>TINGSRYD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46168</v>
      </c>
      <c r="E578" s="1" t="n">
        <v>46295</v>
      </c>
      <c r="F578" t="inlineStr">
        <is>
          <t>KRONOBERGS LÄN</t>
        </is>
      </c>
      <c r="G578" t="inlineStr">
        <is>
          <t>TINGSRYD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24064-2026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46295</v>
      </c>
      <c r="F579" t="inlineStr">
        <is>
          <t>KRONOBERGS LÄN</t>
        </is>
      </c>
      <c r="G579" t="inlineStr">
        <is>
          <t>TINGSRYD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57157-2023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45245</v>
      </c>
      <c r="E580" s="1" t="n">
        <v>46295</v>
      </c>
      <c r="F580" t="inlineStr">
        <is>
          <t>KRONOBERGS LÄN</t>
        </is>
      </c>
      <c r="G580" t="inlineStr">
        <is>
          <t>TINGSRYD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49352-2023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46295</v>
      </c>
      <c r="F581" t="inlineStr">
        <is>
          <t>KRONOBERGS LÄN</t>
        </is>
      </c>
      <c r="G581" t="inlineStr">
        <is>
          <t>TINGSRYD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23936-2026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46167</v>
      </c>
      <c r="E582" s="1" t="n">
        <v>46295</v>
      </c>
      <c r="F582" t="inlineStr">
        <is>
          <t>KRONOBERGS LÄN</t>
        </is>
      </c>
      <c r="G582" t="inlineStr">
        <is>
          <t>TINGSRYD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23950-2026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46167</v>
      </c>
      <c r="E583" s="1" t="n">
        <v>46295</v>
      </c>
      <c r="F583" t="inlineStr">
        <is>
          <t>KRONOBERGS LÄN</t>
        </is>
      </c>
      <c r="G583" t="inlineStr">
        <is>
          <t>TINGSRYD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14918-2022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44657</v>
      </c>
      <c r="E584" s="1" t="n">
        <v>46295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3987-2025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45684</v>
      </c>
      <c r="E585" s="1" t="n">
        <v>46295</v>
      </c>
      <c r="F585" t="inlineStr">
        <is>
          <t>KRONOBERGS LÄN</t>
        </is>
      </c>
      <c r="G585" t="inlineStr">
        <is>
          <t>TINGSRYD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43315-2023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45183</v>
      </c>
      <c r="E586" s="1" t="n">
        <v>46295</v>
      </c>
      <c r="F586" t="inlineStr">
        <is>
          <t>KRONOBERGS LÄN</t>
        </is>
      </c>
      <c r="G586" t="inlineStr">
        <is>
          <t>TINGSRYD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43319-2023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45183</v>
      </c>
      <c r="E587" s="1" t="n">
        <v>46295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45117</v>
      </c>
      <c r="E588" s="1" t="n">
        <v>46295</v>
      </c>
      <c r="F588" t="inlineStr">
        <is>
          <t>KRONOBERGS LÄN</t>
        </is>
      </c>
      <c r="G588" t="inlineStr">
        <is>
          <t>TINGSRYD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28953-2022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44749</v>
      </c>
      <c r="E589" s="1" t="n">
        <v>46295</v>
      </c>
      <c r="F589" t="inlineStr">
        <is>
          <t>KRONOBERGS LÄN</t>
        </is>
      </c>
      <c r="G589" t="inlineStr">
        <is>
          <t>TINGSRYD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24774-2022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44728</v>
      </c>
      <c r="E590" s="1" t="n">
        <v>46295</v>
      </c>
      <c r="F590" t="inlineStr">
        <is>
          <t>KRONOBERGS LÄN</t>
        </is>
      </c>
      <c r="G590" t="inlineStr">
        <is>
          <t>TINGSRYD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24786-2022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44728</v>
      </c>
      <c r="E591" s="1" t="n">
        <v>46295</v>
      </c>
      <c r="F591" t="inlineStr">
        <is>
          <t>KRONOBERGS LÄN</t>
        </is>
      </c>
      <c r="G591" t="inlineStr">
        <is>
          <t>TINGSRYD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40882-2023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45173</v>
      </c>
      <c r="E592" s="1" t="n">
        <v>46295</v>
      </c>
      <c r="F592" t="inlineStr">
        <is>
          <t>KRONOBERGS LÄN</t>
        </is>
      </c>
      <c r="G592" t="inlineStr">
        <is>
          <t>TINGSRYD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14559-2022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44655</v>
      </c>
      <c r="E593" s="1" t="n">
        <v>46295</v>
      </c>
      <c r="F593" t="inlineStr">
        <is>
          <t>KRONOBERGS LÄN</t>
        </is>
      </c>
      <c r="G593" t="inlineStr">
        <is>
          <t>TINGSRYD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52945-2023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45226</v>
      </c>
      <c r="E594" s="1" t="n">
        <v>46295</v>
      </c>
      <c r="F594" t="inlineStr">
        <is>
          <t>KRONOBERGS LÄN</t>
        </is>
      </c>
      <c r="G594" t="inlineStr">
        <is>
          <t>TINGSRYD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24707-2026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46171</v>
      </c>
      <c r="E595" s="1" t="n">
        <v>46295</v>
      </c>
      <c r="F595" t="inlineStr">
        <is>
          <t>KRONOBERGS LÄN</t>
        </is>
      </c>
      <c r="G595" t="inlineStr">
        <is>
          <t>TINGSRYD</t>
        </is>
      </c>
      <c r="H595" t="inlineStr">
        <is>
          <t>Övriga Aktiebolag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57379-2024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45629</v>
      </c>
      <c r="E596" s="1" t="n">
        <v>46295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20662-2022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44700</v>
      </c>
      <c r="E597" s="1" t="n">
        <v>46295</v>
      </c>
      <c r="F597" t="inlineStr">
        <is>
          <t>KRONOBERGS LÄN</t>
        </is>
      </c>
      <c r="G597" t="inlineStr">
        <is>
          <t>TINGSRYD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42654-2023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45181</v>
      </c>
      <c r="E598" s="1" t="n">
        <v>46295</v>
      </c>
      <c r="F598" t="inlineStr">
        <is>
          <t>KRONOBERGS LÄN</t>
        </is>
      </c>
      <c r="G598" t="inlineStr">
        <is>
          <t>TINGSRYD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21234-2022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44705</v>
      </c>
      <c r="E599" s="1" t="n">
        <v>46295</v>
      </c>
      <c r="F599" t="inlineStr">
        <is>
          <t>KRONOBERGS LÄN</t>
        </is>
      </c>
      <c r="G599" t="inlineStr">
        <is>
          <t>TINGSRYD</t>
        </is>
      </c>
      <c r="I599" t="n">
        <v>14.9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47393-2022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44852</v>
      </c>
      <c r="E600" s="1" t="n">
        <v>46295</v>
      </c>
      <c r="F600" t="inlineStr">
        <is>
          <t>KRONOBERGS LÄN</t>
        </is>
      </c>
      <c r="G600" t="inlineStr">
        <is>
          <t>TINGSRYD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46175</v>
      </c>
      <c r="E601" s="1" t="n">
        <v>46295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29516-2022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44753</v>
      </c>
      <c r="E602" s="1" t="n">
        <v>46295</v>
      </c>
      <c r="F602" t="inlineStr">
        <is>
          <t>KRONOBERGS LÄN</t>
        </is>
      </c>
      <c r="G602" t="inlineStr">
        <is>
          <t>TINGSRYD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39099-2023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45164</v>
      </c>
      <c r="E603" s="1" t="n">
        <v>46295</v>
      </c>
      <c r="F603" t="inlineStr">
        <is>
          <t>KRONOBERGS LÄN</t>
        </is>
      </c>
      <c r="G603" t="inlineStr">
        <is>
          <t>TINGSRYD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39103-2023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45164</v>
      </c>
      <c r="E604" s="1" t="n">
        <v>46295</v>
      </c>
      <c r="F604" t="inlineStr">
        <is>
          <t>KRONOBERGS LÄN</t>
        </is>
      </c>
      <c r="G604" t="inlineStr">
        <is>
          <t>TINGSRYD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25146-2026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46175</v>
      </c>
      <c r="E605" s="1" t="n">
        <v>46295</v>
      </c>
      <c r="F605" t="inlineStr">
        <is>
          <t>KRONOBERGS LÄN</t>
        </is>
      </c>
      <c r="G605" t="inlineStr">
        <is>
          <t>TINGSRYD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46470-2023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45197</v>
      </c>
      <c r="E606" s="1" t="n">
        <v>46295</v>
      </c>
      <c r="F606" t="inlineStr">
        <is>
          <t>KRONOBERGS LÄN</t>
        </is>
      </c>
      <c r="G606" t="inlineStr">
        <is>
          <t>TINGSRYD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61444-2023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45264</v>
      </c>
      <c r="E607" s="1" t="n">
        <v>46295</v>
      </c>
      <c r="F607" t="inlineStr">
        <is>
          <t>KRONOBERGS LÄN</t>
        </is>
      </c>
      <c r="G607" t="inlineStr">
        <is>
          <t>TINGSRYD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33351-2023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45117</v>
      </c>
      <c r="E608" s="1" t="n">
        <v>46295</v>
      </c>
      <c r="F608" t="inlineStr">
        <is>
          <t>KRONOBERGS LÄN</t>
        </is>
      </c>
      <c r="G608" t="inlineStr">
        <is>
          <t>TINGSRYD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25329-2026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46176</v>
      </c>
      <c r="E609" s="1" t="n">
        <v>46295</v>
      </c>
      <c r="F609" t="inlineStr">
        <is>
          <t>KRONOBERGS LÄN</t>
        </is>
      </c>
      <c r="G609" t="inlineStr">
        <is>
          <t>TINGSRYD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54963-2023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45236</v>
      </c>
      <c r="E610" s="1" t="n">
        <v>46295</v>
      </c>
      <c r="F610" t="inlineStr">
        <is>
          <t>KRONOBERGS LÄN</t>
        </is>
      </c>
      <c r="G610" t="inlineStr">
        <is>
          <t>TINGSRYD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5380-2024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45331</v>
      </c>
      <c r="E611" s="1" t="n">
        <v>46295</v>
      </c>
      <c r="F611" t="inlineStr">
        <is>
          <t>KRONOBERGS LÄN</t>
        </is>
      </c>
      <c r="G611" t="inlineStr">
        <is>
          <t>TINGSRYD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45303</v>
      </c>
      <c r="E612" s="1" t="n">
        <v>46295</v>
      </c>
      <c r="F612" t="inlineStr">
        <is>
          <t>KRONOBERGS LÄN</t>
        </is>
      </c>
      <c r="G612" t="inlineStr">
        <is>
          <t>TINGSRYD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55454-2023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45238</v>
      </c>
      <c r="E613" s="1" t="n">
        <v>46295</v>
      </c>
      <c r="F613" t="inlineStr">
        <is>
          <t>KRONOBERGS LÄN</t>
        </is>
      </c>
      <c r="G613" t="inlineStr">
        <is>
          <t>TINGSRYD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30012-2023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45109</v>
      </c>
      <c r="E614" s="1" t="n">
        <v>46295</v>
      </c>
      <c r="F614" t="inlineStr">
        <is>
          <t>KRONOBERGS LÄN</t>
        </is>
      </c>
      <c r="G614" t="inlineStr">
        <is>
          <t>TINGSRYD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30016-2023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45109</v>
      </c>
      <c r="E615" s="1" t="n">
        <v>46295</v>
      </c>
      <c r="F615" t="inlineStr">
        <is>
          <t>KRONOBERGS LÄN</t>
        </is>
      </c>
      <c r="G615" t="inlineStr">
        <is>
          <t>TINGSRYD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1209-2024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45302</v>
      </c>
      <c r="E616" s="1" t="n">
        <v>46295</v>
      </c>
      <c r="F616" t="inlineStr">
        <is>
          <t>KRONOBERGS LÄN</t>
        </is>
      </c>
      <c r="G616" t="inlineStr">
        <is>
          <t>TINGSRYD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25471-2026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46295</v>
      </c>
      <c r="F617" t="inlineStr">
        <is>
          <t>KRONOBERGS LÄN</t>
        </is>
      </c>
      <c r="G617" t="inlineStr">
        <is>
          <t>TINGSRYD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25256-2026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46175</v>
      </c>
      <c r="E618" s="1" t="n">
        <v>46295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20525-2025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45775</v>
      </c>
      <c r="E619" s="1" t="n">
        <v>46295</v>
      </c>
      <c r="F619" t="inlineStr">
        <is>
          <t>KRONOBERGS LÄN</t>
        </is>
      </c>
      <c r="G619" t="inlineStr">
        <is>
          <t>TINGSRYD</t>
        </is>
      </c>
      <c r="I619" t="n">
        <v>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25959-2026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46295</v>
      </c>
      <c r="F620" t="inlineStr">
        <is>
          <t>KRONOBERGS LÄN</t>
        </is>
      </c>
      <c r="G620" t="inlineStr">
        <is>
          <t>TINGSRYD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36623-2022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44804</v>
      </c>
      <c r="E621" s="1" t="n">
        <v>46295</v>
      </c>
      <c r="F621" t="inlineStr">
        <is>
          <t>KRONOBERGS LÄN</t>
        </is>
      </c>
      <c r="G621" t="inlineStr">
        <is>
          <t>TINGSRYD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45306</v>
      </c>
      <c r="E622" s="1" t="n">
        <v>46295</v>
      </c>
      <c r="F622" t="inlineStr">
        <is>
          <t>KRONOBERGS LÄN</t>
        </is>
      </c>
      <c r="G622" t="inlineStr">
        <is>
          <t>TINGSRYD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26252-2026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46295</v>
      </c>
      <c r="F623" t="inlineStr">
        <is>
          <t>KRONOBERGS LÄN</t>
        </is>
      </c>
      <c r="G623" t="inlineStr">
        <is>
          <t>TINGSRYD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2806-2024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45314</v>
      </c>
      <c r="E624" s="1" t="n">
        <v>46295</v>
      </c>
      <c r="F624" t="inlineStr">
        <is>
          <t>KRONOBERGS LÄN</t>
        </is>
      </c>
      <c r="G624" t="inlineStr">
        <is>
          <t>TINGSRYD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36626-2022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44804</v>
      </c>
      <c r="E625" s="1" t="n">
        <v>46295</v>
      </c>
      <c r="F625" t="inlineStr">
        <is>
          <t>KRONOBERGS LÄN</t>
        </is>
      </c>
      <c r="G625" t="inlineStr">
        <is>
          <t>TINGSRYD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21115-2026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46146</v>
      </c>
      <c r="E626" s="1" t="n">
        <v>46295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19784-2026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46135</v>
      </c>
      <c r="E627" s="1" t="n">
        <v>46295</v>
      </c>
      <c r="F627" t="inlineStr">
        <is>
          <t>KRONOBERGS LÄN</t>
        </is>
      </c>
      <c r="G627" t="inlineStr">
        <is>
          <t>TINGSRYD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26250-2026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46182</v>
      </c>
      <c r="E628" s="1" t="n">
        <v>46295</v>
      </c>
      <c r="F628" t="inlineStr">
        <is>
          <t>KRONOBERGS LÄN</t>
        </is>
      </c>
      <c r="G628" t="inlineStr">
        <is>
          <t>TINGSRYD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46295</v>
      </c>
      <c r="F629" t="inlineStr">
        <is>
          <t>KRONOBERGS LÄN</t>
        </is>
      </c>
      <c r="G629" t="inlineStr">
        <is>
          <t>TINGSRYD</t>
        </is>
      </c>
      <c r="I629" t="n">
        <v>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45176</v>
      </c>
      <c r="E630" s="1" t="n">
        <v>46295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10453-2024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45366</v>
      </c>
      <c r="E631" s="1" t="n">
        <v>46295</v>
      </c>
      <c r="F631" t="inlineStr">
        <is>
          <t>KRONOBERGS LÄN</t>
        </is>
      </c>
      <c r="G631" t="inlineStr">
        <is>
          <t>TINGSRYD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46295</v>
      </c>
      <c r="F632" t="inlineStr">
        <is>
          <t>KRONOBERGS LÄN</t>
        </is>
      </c>
      <c r="G632" t="inlineStr">
        <is>
          <t>TINGSRYD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29916-2022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44756</v>
      </c>
      <c r="E633" s="1" t="n">
        <v>46295</v>
      </c>
      <c r="F633" t="inlineStr">
        <is>
          <t>KRONOBERGS LÄN</t>
        </is>
      </c>
      <c r="G633" t="inlineStr">
        <is>
          <t>TINGSRYD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26248-2026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46182</v>
      </c>
      <c r="E634" s="1" t="n">
        <v>46295</v>
      </c>
      <c r="F634" t="inlineStr">
        <is>
          <t>KRONOBERGS LÄN</t>
        </is>
      </c>
      <c r="G634" t="inlineStr">
        <is>
          <t>TINGSRYD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58251-2022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44901</v>
      </c>
      <c r="E635" s="1" t="n">
        <v>46295</v>
      </c>
      <c r="F635" t="inlineStr">
        <is>
          <t>KRONOBERGS LÄN</t>
        </is>
      </c>
      <c r="G635" t="inlineStr">
        <is>
          <t>TINGSRYD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58256-2022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44901</v>
      </c>
      <c r="E636" s="1" t="n">
        <v>46295</v>
      </c>
      <c r="F636" t="inlineStr">
        <is>
          <t>KRONOBERGS LÄN</t>
        </is>
      </c>
      <c r="G636" t="inlineStr">
        <is>
          <t>TINGSRYD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26674-2026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46184</v>
      </c>
      <c r="E637" s="1" t="n">
        <v>46295</v>
      </c>
      <c r="F637" t="inlineStr">
        <is>
          <t>KRONOBERGS LÄN</t>
        </is>
      </c>
      <c r="G637" t="inlineStr">
        <is>
          <t>TINGSRYD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62209-2023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45267</v>
      </c>
      <c r="E638" s="1" t="n">
        <v>46295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15132-2024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45399</v>
      </c>
      <c r="E639" s="1" t="n">
        <v>46295</v>
      </c>
      <c r="F639" t="inlineStr">
        <is>
          <t>KRONOBERGS LÄN</t>
        </is>
      </c>
      <c r="G639" t="inlineStr">
        <is>
          <t>TINGSRYD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27329-2026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46295</v>
      </c>
      <c r="F640" t="inlineStr">
        <is>
          <t>KRONOBERGS LÄN</t>
        </is>
      </c>
      <c r="G640" t="inlineStr">
        <is>
          <t>TINGSRYD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59169-2022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44904</v>
      </c>
      <c r="E641" s="1" t="n">
        <v>46295</v>
      </c>
      <c r="F641" t="inlineStr">
        <is>
          <t>KRONOBERGS LÄN</t>
        </is>
      </c>
      <c r="G641" t="inlineStr">
        <is>
          <t>TINGSRYD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50715-2022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44867</v>
      </c>
      <c r="E642" s="1" t="n">
        <v>46295</v>
      </c>
      <c r="F642" t="inlineStr">
        <is>
          <t>KRONOBERGS LÄN</t>
        </is>
      </c>
      <c r="G642" t="inlineStr">
        <is>
          <t>TINGSRYD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44950</v>
      </c>
      <c r="E643" s="1" t="n">
        <v>46295</v>
      </c>
      <c r="F643" t="inlineStr">
        <is>
          <t>KRONOBERGS LÄN</t>
        </is>
      </c>
      <c r="G643" t="inlineStr">
        <is>
          <t>TINGSRYD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42522-2022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44831</v>
      </c>
      <c r="E644" s="1" t="n">
        <v>46295</v>
      </c>
      <c r="F644" t="inlineStr">
        <is>
          <t>KRONOBERGS LÄN</t>
        </is>
      </c>
      <c r="G644" t="inlineStr">
        <is>
          <t>TINGSRYD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42526-2022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44831</v>
      </c>
      <c r="E645" s="1" t="n">
        <v>46295</v>
      </c>
      <c r="F645" t="inlineStr">
        <is>
          <t>KRONOBERGS LÄN</t>
        </is>
      </c>
      <c r="G645" t="inlineStr">
        <is>
          <t>TINGSRYD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66789-2021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44522</v>
      </c>
      <c r="E646" s="1" t="n">
        <v>46295</v>
      </c>
      <c r="F646" t="inlineStr">
        <is>
          <t>KRONOBERGS LÄN</t>
        </is>
      </c>
      <c r="G646" t="inlineStr">
        <is>
          <t>TINGSRYD</t>
        </is>
      </c>
      <c r="H646" t="inlineStr">
        <is>
          <t>Övriga Aktiebolag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45082</v>
      </c>
      <c r="E647" s="1" t="n">
        <v>46295</v>
      </c>
      <c r="F647" t="inlineStr">
        <is>
          <t>KRONOBERGS LÄN</t>
        </is>
      </c>
      <c r="G647" t="inlineStr">
        <is>
          <t>TINGSRYD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27610-2026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46190</v>
      </c>
      <c r="E648" s="1" t="n">
        <v>46295</v>
      </c>
      <c r="F648" t="inlineStr">
        <is>
          <t>KRONOBERGS LÄN</t>
        </is>
      </c>
      <c r="G648" t="inlineStr">
        <is>
          <t>TINGSRYD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4570-2024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45327</v>
      </c>
      <c r="E649" s="1" t="n">
        <v>46295</v>
      </c>
      <c r="F649" t="inlineStr">
        <is>
          <t>KRONOBERGS LÄN</t>
        </is>
      </c>
      <c r="G649" t="inlineStr">
        <is>
          <t>TINGSRYD</t>
        </is>
      </c>
      <c r="H649" t="inlineStr">
        <is>
          <t>Sveaskog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62975-2023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45272</v>
      </c>
      <c r="E650" s="1" t="n">
        <v>46295</v>
      </c>
      <c r="F650" t="inlineStr">
        <is>
          <t>KRONOBERGS LÄN</t>
        </is>
      </c>
      <c r="G650" t="inlineStr">
        <is>
          <t>TINGSRYD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61194-2023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45264</v>
      </c>
      <c r="E651" s="1" t="n">
        <v>46295</v>
      </c>
      <c r="F651" t="inlineStr">
        <is>
          <t>KRONOBERGS LÄN</t>
        </is>
      </c>
      <c r="G651" t="inlineStr">
        <is>
          <t>TINGSRYD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27397-2026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46189</v>
      </c>
      <c r="E652" s="1" t="n">
        <v>46295</v>
      </c>
      <c r="F652" t="inlineStr">
        <is>
          <t>KRONOBERGS LÄN</t>
        </is>
      </c>
      <c r="G652" t="inlineStr">
        <is>
          <t>TINGSRYD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45201</v>
      </c>
      <c r="E653" s="1" t="n">
        <v>46295</v>
      </c>
      <c r="F653" t="inlineStr">
        <is>
          <t>KRONOBERGS LÄN</t>
        </is>
      </c>
      <c r="G653" t="inlineStr">
        <is>
          <t>TINGSRYD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28507-2022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44748</v>
      </c>
      <c r="E654" s="1" t="n">
        <v>46295</v>
      </c>
      <c r="F654" t="inlineStr">
        <is>
          <t>KRONOBERGS LÄN</t>
        </is>
      </c>
      <c r="G654" t="inlineStr">
        <is>
          <t>TINGSRYD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46197</v>
      </c>
      <c r="E655" s="1" t="n">
        <v>46295</v>
      </c>
      <c r="F655" t="inlineStr">
        <is>
          <t>KRONOBERGS LÄN</t>
        </is>
      </c>
      <c r="G655" t="inlineStr">
        <is>
          <t>TINGSRYD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46197</v>
      </c>
      <c r="E656" s="1" t="n">
        <v>46295</v>
      </c>
      <c r="F656" t="inlineStr">
        <is>
          <t>KRONOBERGS LÄN</t>
        </is>
      </c>
      <c r="G656" t="inlineStr">
        <is>
          <t>TINGSRYD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19124-2022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44691</v>
      </c>
      <c r="E657" s="1" t="n">
        <v>46295</v>
      </c>
      <c r="F657" t="inlineStr">
        <is>
          <t>KRONOBERGS LÄN</t>
        </is>
      </c>
      <c r="G657" t="inlineStr">
        <is>
          <t>TINGSRYD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1336-2024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45303</v>
      </c>
      <c r="E658" s="1" t="n">
        <v>46295</v>
      </c>
      <c r="F658" t="inlineStr">
        <is>
          <t>KRONOBERGS LÄN</t>
        </is>
      </c>
      <c r="G658" t="inlineStr">
        <is>
          <t>TINGSRYD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54168-2024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45616</v>
      </c>
      <c r="E659" s="1" t="n">
        <v>46295</v>
      </c>
      <c r="F659" t="inlineStr">
        <is>
          <t>KRONOBERGS LÄN</t>
        </is>
      </c>
      <c r="G659" t="inlineStr">
        <is>
          <t>TINGSRYD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19380-2024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45429</v>
      </c>
      <c r="E660" s="1" t="n">
        <v>46295</v>
      </c>
      <c r="F660" t="inlineStr">
        <is>
          <t>KRONOBERGS LÄN</t>
        </is>
      </c>
      <c r="G660" t="inlineStr">
        <is>
          <t>TINGSRYD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47149-2023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46295</v>
      </c>
      <c r="F661" t="inlineStr">
        <is>
          <t>KRONOBERGS LÄN</t>
        </is>
      </c>
      <c r="G661" t="inlineStr">
        <is>
          <t>TINGSRYD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18704-2024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45426</v>
      </c>
      <c r="E662" s="1" t="n">
        <v>46295</v>
      </c>
      <c r="F662" t="inlineStr">
        <is>
          <t>KRONOBERGS LÄN</t>
        </is>
      </c>
      <c r="G662" t="inlineStr">
        <is>
          <t>TINGSRYD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44674-2024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45574</v>
      </c>
      <c r="E663" s="1" t="n">
        <v>46295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17844-2024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45418</v>
      </c>
      <c r="E664" s="1" t="n">
        <v>46295</v>
      </c>
      <c r="F664" t="inlineStr">
        <is>
          <t>KRONOBERGS LÄN</t>
        </is>
      </c>
      <c r="G664" t="inlineStr">
        <is>
          <t>TINGSRYD</t>
        </is>
      </c>
      <c r="H664" t="inlineStr">
        <is>
          <t>Kyrkan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13269-2024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45386</v>
      </c>
      <c r="E665" s="1" t="n">
        <v>46295</v>
      </c>
      <c r="F665" t="inlineStr">
        <is>
          <t>KRONOBERGS LÄN</t>
        </is>
      </c>
      <c r="G665" t="inlineStr">
        <is>
          <t>TINGSRYD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28771-2026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46295</v>
      </c>
      <c r="F666" t="inlineStr">
        <is>
          <t>KRONOBERGS LÄN</t>
        </is>
      </c>
      <c r="G666" t="inlineStr">
        <is>
          <t>TINGSRYD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28923-2026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46199</v>
      </c>
      <c r="E667" s="1" t="n">
        <v>46295</v>
      </c>
      <c r="F667" t="inlineStr">
        <is>
          <t>KRONOBERGS LÄN</t>
        </is>
      </c>
      <c r="G667" t="inlineStr">
        <is>
          <t>TINGSRYD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16992-2024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45412</v>
      </c>
      <c r="E668" s="1" t="n">
        <v>46295</v>
      </c>
      <c r="F668" t="inlineStr">
        <is>
          <t>KRONOBERGS LÄN</t>
        </is>
      </c>
      <c r="G668" t="inlineStr">
        <is>
          <t>TINGSRYD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30483-2026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46204</v>
      </c>
      <c r="E669" s="1" t="n">
        <v>46295</v>
      </c>
      <c r="F669" t="inlineStr">
        <is>
          <t>KRONOBERGS LÄN</t>
        </is>
      </c>
      <c r="G669" t="inlineStr">
        <is>
          <t>TINGSRYD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44984</v>
      </c>
      <c r="E670" s="1" t="n">
        <v>46295</v>
      </c>
      <c r="F670" t="inlineStr">
        <is>
          <t>KRONOBERGS LÄN</t>
        </is>
      </c>
      <c r="G670" t="inlineStr">
        <is>
          <t>TINGSRYD</t>
        </is>
      </c>
      <c r="I670" t="n">
        <v>12.4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11182-2024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45371</v>
      </c>
      <c r="E671" s="1" t="n">
        <v>46295</v>
      </c>
      <c r="F671" t="inlineStr">
        <is>
          <t>KRONOBERGS LÄN</t>
        </is>
      </c>
      <c r="G671" t="inlineStr">
        <is>
          <t>TINGSRYD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16144-2024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46295</v>
      </c>
      <c r="F672" t="inlineStr">
        <is>
          <t>KRONOBERGS LÄN</t>
        </is>
      </c>
      <c r="G672" t="inlineStr">
        <is>
          <t>TINGSRYD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6930-2022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44602</v>
      </c>
      <c r="E673" s="1" t="n">
        <v>46295</v>
      </c>
      <c r="F673" t="inlineStr">
        <is>
          <t>KRONOBERGS LÄN</t>
        </is>
      </c>
      <c r="G673" t="inlineStr">
        <is>
          <t>TINGSRYD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46295</v>
      </c>
      <c r="F674" t="inlineStr">
        <is>
          <t>KRONOBERGS LÄN</t>
        </is>
      </c>
      <c r="G674" t="inlineStr">
        <is>
          <t>TINGSRYD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30512-2026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46204</v>
      </c>
      <c r="E675" s="1" t="n">
        <v>46295</v>
      </c>
      <c r="F675" t="inlineStr">
        <is>
          <t>KRONOBERGS LÄN</t>
        </is>
      </c>
      <c r="G675" t="inlineStr">
        <is>
          <t>TINGSRYD</t>
        </is>
      </c>
      <c r="H675" t="inlineStr">
        <is>
          <t>Kyrkan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30518-2026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46204</v>
      </c>
      <c r="E676" s="1" t="n">
        <v>46295</v>
      </c>
      <c r="F676" t="inlineStr">
        <is>
          <t>KRONOBERGS LÄN</t>
        </is>
      </c>
      <c r="G676" t="inlineStr">
        <is>
          <t>TINGSRYD</t>
        </is>
      </c>
      <c r="H676" t="inlineStr">
        <is>
          <t>Kyrkan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30521-2026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46204</v>
      </c>
      <c r="E677" s="1" t="n">
        <v>46295</v>
      </c>
      <c r="F677" t="inlineStr">
        <is>
          <t>KRONOBERGS LÄN</t>
        </is>
      </c>
      <c r="G677" t="inlineStr">
        <is>
          <t>TINGSRYD</t>
        </is>
      </c>
      <c r="H677" t="inlineStr">
        <is>
          <t>Kyrkan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14934-2022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44657</v>
      </c>
      <c r="E678" s="1" t="n">
        <v>46295</v>
      </c>
      <c r="F678" t="inlineStr">
        <is>
          <t>KRONOBERGS LÄN</t>
        </is>
      </c>
      <c r="G678" t="inlineStr">
        <is>
          <t>TINGSRYD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29919-2026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46205</v>
      </c>
      <c r="E679" s="1" t="n">
        <v>46295</v>
      </c>
      <c r="F679" t="inlineStr">
        <is>
          <t>KRONOBERGS LÄN</t>
        </is>
      </c>
      <c r="G679" t="inlineStr">
        <is>
          <t>TINGSRYD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29592-2026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46295</v>
      </c>
      <c r="F680" t="inlineStr">
        <is>
          <t>KRONOBERGS LÄN</t>
        </is>
      </c>
      <c r="G680" t="inlineStr">
        <is>
          <t>TINGSRYD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6960-2023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44967</v>
      </c>
      <c r="E681" s="1" t="n">
        <v>46295</v>
      </c>
      <c r="F681" t="inlineStr">
        <is>
          <t>KRONOBERGS LÄN</t>
        </is>
      </c>
      <c r="G681" t="inlineStr">
        <is>
          <t>TINGSRYD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43912-2024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45572</v>
      </c>
      <c r="E682" s="1" t="n">
        <v>46295</v>
      </c>
      <c r="F682" t="inlineStr">
        <is>
          <t>KRONOBERGS LÄN</t>
        </is>
      </c>
      <c r="G682" t="inlineStr">
        <is>
          <t>TINGSRYD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11080-2022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44628</v>
      </c>
      <c r="E683" s="1" t="n">
        <v>46295</v>
      </c>
      <c r="F683" t="inlineStr">
        <is>
          <t>KRONOBERGS LÄN</t>
        </is>
      </c>
      <c r="G683" t="inlineStr">
        <is>
          <t>TINGSRYD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6880-2023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44967</v>
      </c>
      <c r="E684" s="1" t="n">
        <v>46295</v>
      </c>
      <c r="F684" t="inlineStr">
        <is>
          <t>KRONOBERGS LÄN</t>
        </is>
      </c>
      <c r="G684" t="inlineStr">
        <is>
          <t>TINGSRYD</t>
        </is>
      </c>
      <c r="H684" t="inlineStr">
        <is>
          <t>Övriga Aktiebolag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46295</v>
      </c>
      <c r="F685" t="inlineStr">
        <is>
          <t>KRONOBERGS LÄN</t>
        </is>
      </c>
      <c r="G685" t="inlineStr">
        <is>
          <t>TINGSRYD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30016-2026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46295</v>
      </c>
      <c r="F686" t="inlineStr">
        <is>
          <t>KRONOBERGS LÄN</t>
        </is>
      </c>
      <c r="G686" t="inlineStr">
        <is>
          <t>TINGSRYD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  <c r="Z686">
        <f>HYPERLINK("https://klasma.github.io/Logging_0763/knärot/A 30016-2026 karta knärot.png", "A 30016-2026")</f>
        <v/>
      </c>
      <c r="AA686">
        <f>HYPERLINK("https://klasma.github.io/Logging_0763/klagomål/A 30016-2026 FSC-klagomål.docx", "A 30016-2026")</f>
        <v/>
      </c>
      <c r="AB686">
        <f>HYPERLINK("https://klasma.github.io/Logging_0763/klagomålsmail/A 30016-2026 FSC-klagomål mail.docx", "A 30016-2026")</f>
        <v/>
      </c>
      <c r="AC686">
        <f>HYPERLINK("https://klasma.github.io/Logging_0763/tillsyn/A 30016-2026 tillsynsbegäran.docx", "A 30016-2026")</f>
        <v/>
      </c>
      <c r="AD686">
        <f>HYPERLINK("https://klasma.github.io/Logging_0763/tillsynsmail/A 30016-2026 tillsynsbegäran mail.docx", "A 30016-2026")</f>
        <v/>
      </c>
    </row>
    <row r="687" ht="15" customHeight="1">
      <c r="A687" t="inlineStr">
        <is>
          <t>A 1926-2023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44939</v>
      </c>
      <c r="E687" s="1" t="n">
        <v>46295</v>
      </c>
      <c r="F687" t="inlineStr">
        <is>
          <t>KRONOBERGS LÄN</t>
        </is>
      </c>
      <c r="G687" t="inlineStr">
        <is>
          <t>TINGSRYD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10595-2023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44988</v>
      </c>
      <c r="E688" s="1" t="n">
        <v>46295</v>
      </c>
      <c r="F688" t="inlineStr">
        <is>
          <t>KRONOBERGS LÄN</t>
        </is>
      </c>
      <c r="G688" t="inlineStr">
        <is>
          <t>TINGSRYD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43466-2024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45568</v>
      </c>
      <c r="E689" s="1" t="n">
        <v>46295</v>
      </c>
      <c r="F689" t="inlineStr">
        <is>
          <t>KRONOBERGS LÄN</t>
        </is>
      </c>
      <c r="G689" t="inlineStr">
        <is>
          <t>TINGSRYD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44234-2023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46295</v>
      </c>
      <c r="F690" t="inlineStr">
        <is>
          <t>KRONOBERGS LÄN</t>
        </is>
      </c>
      <c r="G690" t="inlineStr">
        <is>
          <t>TINGSRYD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30276-2026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46295</v>
      </c>
      <c r="F691" t="inlineStr">
        <is>
          <t>KRONOBERGS LÄN</t>
        </is>
      </c>
      <c r="G691" t="inlineStr">
        <is>
          <t>TINGSRYD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21254-2023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45062</v>
      </c>
      <c r="E692" s="1" t="n">
        <v>46295</v>
      </c>
      <c r="F692" t="inlineStr">
        <is>
          <t>KRONOBERGS LÄN</t>
        </is>
      </c>
      <c r="G692" t="inlineStr">
        <is>
          <t>TINGSRYD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14595-2024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45395</v>
      </c>
      <c r="E693" s="1" t="n">
        <v>46295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13182-2023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45002</v>
      </c>
      <c r="E694" s="1" t="n">
        <v>46295</v>
      </c>
      <c r="F694" t="inlineStr">
        <is>
          <t>KRONOBERGS LÄN</t>
        </is>
      </c>
      <c r="G694" t="inlineStr">
        <is>
          <t>TINGSRYD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50212-2024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46295</v>
      </c>
      <c r="F695" t="inlineStr">
        <is>
          <t>KRONOBERGS LÄN</t>
        </is>
      </c>
      <c r="G695" t="inlineStr">
        <is>
          <t>TINGSRYD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1994-2023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44938</v>
      </c>
      <c r="E696" s="1" t="n">
        <v>46295</v>
      </c>
      <c r="F696" t="inlineStr">
        <is>
          <t>KRONOBERGS LÄN</t>
        </is>
      </c>
      <c r="G696" t="inlineStr">
        <is>
          <t>TINGSRYD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60069-2022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44909</v>
      </c>
      <c r="E697" s="1" t="n">
        <v>46295</v>
      </c>
      <c r="F697" t="inlineStr">
        <is>
          <t>KRONOBERGS LÄN</t>
        </is>
      </c>
      <c r="G697" t="inlineStr">
        <is>
          <t>TINGSRYD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20130-2022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44698</v>
      </c>
      <c r="E698" s="1" t="n">
        <v>46295</v>
      </c>
      <c r="F698" t="inlineStr">
        <is>
          <t>KRONOBERGS LÄN</t>
        </is>
      </c>
      <c r="G698" t="inlineStr">
        <is>
          <t>TINGSRYD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5292-2024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45331</v>
      </c>
      <c r="E699" s="1" t="n">
        <v>46295</v>
      </c>
      <c r="F699" t="inlineStr">
        <is>
          <t>KRONOBERGS LÄN</t>
        </is>
      </c>
      <c r="G699" t="inlineStr">
        <is>
          <t>TINGSRYD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5293-2024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45331</v>
      </c>
      <c r="E700" s="1" t="n">
        <v>46295</v>
      </c>
      <c r="F700" t="inlineStr">
        <is>
          <t>KRONOBERGS LÄN</t>
        </is>
      </c>
      <c r="G700" t="inlineStr">
        <is>
          <t>TINGSRYD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5294-2024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45331</v>
      </c>
      <c r="E701" s="1" t="n">
        <v>46295</v>
      </c>
      <c r="F701" t="inlineStr">
        <is>
          <t>KRONOBERGS LÄN</t>
        </is>
      </c>
      <c r="G701" t="inlineStr">
        <is>
          <t>TINGSRYD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31343-2026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46212</v>
      </c>
      <c r="E702" s="1" t="n">
        <v>46295</v>
      </c>
      <c r="F702" t="inlineStr">
        <is>
          <t>KRONOBERGS LÄN</t>
        </is>
      </c>
      <c r="G702" t="inlineStr">
        <is>
          <t>TINGSRYD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37126-2023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45155</v>
      </c>
      <c r="E703" s="1" t="n">
        <v>46295</v>
      </c>
      <c r="F703" t="inlineStr">
        <is>
          <t>KRONOBERGS LÄN</t>
        </is>
      </c>
      <c r="G703" t="inlineStr">
        <is>
          <t>TINGSRYD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63824-2021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44509</v>
      </c>
      <c r="E704" s="1" t="n">
        <v>46295</v>
      </c>
      <c r="F704" t="inlineStr">
        <is>
          <t>KRONOBERGS LÄN</t>
        </is>
      </c>
      <c r="G704" t="inlineStr">
        <is>
          <t>TINGSRYD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41768-2023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45176</v>
      </c>
      <c r="E705" s="1" t="n">
        <v>46295</v>
      </c>
      <c r="F705" t="inlineStr">
        <is>
          <t>KRONOBERGS LÄN</t>
        </is>
      </c>
      <c r="G705" t="inlineStr">
        <is>
          <t>TINGSRYD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9452-2024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45359</v>
      </c>
      <c r="E706" s="1" t="n">
        <v>46295</v>
      </c>
      <c r="F706" t="inlineStr">
        <is>
          <t>KRONOBERGS LÄN</t>
        </is>
      </c>
      <c r="G706" t="inlineStr">
        <is>
          <t>TINGSRYD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46295</v>
      </c>
      <c r="F707" t="inlineStr">
        <is>
          <t>KRONOBERGS LÄN</t>
        </is>
      </c>
      <c r="G707" t="inlineStr">
        <is>
          <t>TINGSRYD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45036</v>
      </c>
      <c r="E708" s="1" t="n">
        <v>46295</v>
      </c>
      <c r="F708" t="inlineStr">
        <is>
          <t>KRONOBERGS LÄN</t>
        </is>
      </c>
      <c r="G708" t="inlineStr">
        <is>
          <t>TINGSRYD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12663-2024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45384</v>
      </c>
      <c r="E709" s="1" t="n">
        <v>46295</v>
      </c>
      <c r="F709" t="inlineStr">
        <is>
          <t>KRONOBERGS LÄN</t>
        </is>
      </c>
      <c r="G709" t="inlineStr">
        <is>
          <t>TINGSRYD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22581-2024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45447</v>
      </c>
      <c r="E710" s="1" t="n">
        <v>46295</v>
      </c>
      <c r="F710" t="inlineStr">
        <is>
          <t>KRONOBERGS LÄN</t>
        </is>
      </c>
      <c r="G710" t="inlineStr">
        <is>
          <t>TINGSRYD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39659-2022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44818</v>
      </c>
      <c r="E711" s="1" t="n">
        <v>46295</v>
      </c>
      <c r="F711" t="inlineStr">
        <is>
          <t>KRONOBERGS LÄN</t>
        </is>
      </c>
      <c r="G711" t="inlineStr">
        <is>
          <t>TINGSRYD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44930</v>
      </c>
      <c r="E712" s="1" t="n">
        <v>46295</v>
      </c>
      <c r="F712" t="inlineStr">
        <is>
          <t>KRONOBERGS LÄN</t>
        </is>
      </c>
      <c r="G712" t="inlineStr">
        <is>
          <t>TINGSRYD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11587-2022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44631</v>
      </c>
      <c r="E713" s="1" t="n">
        <v>46295</v>
      </c>
      <c r="F713" t="inlineStr">
        <is>
          <t>KRONOBERGS LÄN</t>
        </is>
      </c>
      <c r="G713" t="inlineStr">
        <is>
          <t>TINGSRYD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57988-2022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44900</v>
      </c>
      <c r="E714" s="1" t="n">
        <v>46295</v>
      </c>
      <c r="F714" t="inlineStr">
        <is>
          <t>KRONOBERGS LÄN</t>
        </is>
      </c>
      <c r="G714" t="inlineStr">
        <is>
          <t>TINGSRYD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46213</v>
      </c>
      <c r="E715" s="1" t="n">
        <v>46295</v>
      </c>
      <c r="F715" t="inlineStr">
        <is>
          <t>KRONOBERGS LÄN</t>
        </is>
      </c>
      <c r="G715" t="inlineStr">
        <is>
          <t>TINGSRYD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27685-2024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45474</v>
      </c>
      <c r="E716" s="1" t="n">
        <v>46295</v>
      </c>
      <c r="F716" t="inlineStr">
        <is>
          <t>KRONOBERGS LÄN</t>
        </is>
      </c>
      <c r="G716" t="inlineStr">
        <is>
          <t>TINGSRYD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60539-2022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44904</v>
      </c>
      <c r="E717" s="1" t="n">
        <v>46295</v>
      </c>
      <c r="F717" t="inlineStr">
        <is>
          <t>KRONOBERGS LÄN</t>
        </is>
      </c>
      <c r="G717" t="inlineStr">
        <is>
          <t>TINGSRYD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61119-2023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45261</v>
      </c>
      <c r="E718" s="1" t="n">
        <v>46295</v>
      </c>
      <c r="F718" t="inlineStr">
        <is>
          <t>KRONOBERGS LÄN</t>
        </is>
      </c>
      <c r="G718" t="inlineStr">
        <is>
          <t>TINGSRYD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6843-2023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44967</v>
      </c>
      <c r="E719" s="1" t="n">
        <v>46295</v>
      </c>
      <c r="F719" t="inlineStr">
        <is>
          <t>KRONOBERGS LÄN</t>
        </is>
      </c>
      <c r="G719" t="inlineStr">
        <is>
          <t>TINGSRYD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6881-2023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44967</v>
      </c>
      <c r="E720" s="1" t="n">
        <v>46295</v>
      </c>
      <c r="F720" t="inlineStr">
        <is>
          <t>KRONOBERGS LÄN</t>
        </is>
      </c>
      <c r="G720" t="inlineStr">
        <is>
          <t>TINGSRYD</t>
        </is>
      </c>
      <c r="H720" t="inlineStr">
        <is>
          <t>Övriga Aktiebolag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31000-2026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46213</v>
      </c>
      <c r="E721" s="1" t="n">
        <v>46295</v>
      </c>
      <c r="F721" t="inlineStr">
        <is>
          <t>KRONOBERGS LÄN</t>
        </is>
      </c>
      <c r="G721" t="inlineStr">
        <is>
          <t>TINGSRYD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66182-2021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44518</v>
      </c>
      <c r="E722" s="1" t="n">
        <v>46295</v>
      </c>
      <c r="F722" t="inlineStr">
        <is>
          <t>KRONOBERGS LÄN</t>
        </is>
      </c>
      <c r="G722" t="inlineStr">
        <is>
          <t>TINGSRYD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51876-2024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45607</v>
      </c>
      <c r="E723" s="1" t="n">
        <v>46295</v>
      </c>
      <c r="F723" t="inlineStr">
        <is>
          <t>KRONOBERGS LÄN</t>
        </is>
      </c>
      <c r="G723" t="inlineStr">
        <is>
          <t>TINGSRYD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38925-2024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45547</v>
      </c>
      <c r="E724" s="1" t="n">
        <v>46295</v>
      </c>
      <c r="F724" t="inlineStr">
        <is>
          <t>KRONOBERGS LÄN</t>
        </is>
      </c>
      <c r="G724" t="inlineStr">
        <is>
          <t>TINGSRYD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25290-2023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45086</v>
      </c>
      <c r="E725" s="1" t="n">
        <v>46295</v>
      </c>
      <c r="F725" t="inlineStr">
        <is>
          <t>KRONOBERGS LÄN</t>
        </is>
      </c>
      <c r="G725" t="inlineStr">
        <is>
          <t>TINGSRYD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45674</v>
      </c>
      <c r="E726" s="1" t="n">
        <v>46295</v>
      </c>
      <c r="F726" t="inlineStr">
        <is>
          <t>KRONOBERGS LÄN</t>
        </is>
      </c>
      <c r="G726" t="inlineStr">
        <is>
          <t>TINGSRYD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13322-2023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45005</v>
      </c>
      <c r="E727" s="1" t="n">
        <v>46295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13340-2023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45005</v>
      </c>
      <c r="E728" s="1" t="n">
        <v>46295</v>
      </c>
      <c r="F728" t="inlineStr">
        <is>
          <t>KRONOBERGS LÄN</t>
        </is>
      </c>
      <c r="G728" t="inlineStr">
        <is>
          <t>TINGSRYD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35225-2026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46260</v>
      </c>
      <c r="E729" s="1" t="n">
        <v>46295</v>
      </c>
      <c r="F729" t="inlineStr">
        <is>
          <t>KRONOBERGS LÄN</t>
        </is>
      </c>
      <c r="G729" t="inlineStr">
        <is>
          <t>TINGSRYD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58941-2023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45252</v>
      </c>
      <c r="E730" s="1" t="n">
        <v>46295</v>
      </c>
      <c r="F730" t="inlineStr">
        <is>
          <t>KRONOBERGS LÄN</t>
        </is>
      </c>
      <c r="G730" t="inlineStr">
        <is>
          <t>TINGSRYD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35222-2026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46260</v>
      </c>
      <c r="E731" s="1" t="n">
        <v>46295</v>
      </c>
      <c r="F731" t="inlineStr">
        <is>
          <t>KRONOBERGS LÄN</t>
        </is>
      </c>
      <c r="G731" t="inlineStr">
        <is>
          <t>TINGSRYD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6929-2025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45701</v>
      </c>
      <c r="E732" s="1" t="n">
        <v>46295</v>
      </c>
      <c r="F732" t="inlineStr">
        <is>
          <t>KRONOBERGS LÄN</t>
        </is>
      </c>
      <c r="G732" t="inlineStr">
        <is>
          <t>TINGSRYD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35160-2026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46260</v>
      </c>
      <c r="E733" s="1" t="n">
        <v>46295</v>
      </c>
      <c r="F733" t="inlineStr">
        <is>
          <t>KRONOBERGS LÄN</t>
        </is>
      </c>
      <c r="G733" t="inlineStr">
        <is>
          <t>TINGSRYD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45547</v>
      </c>
      <c r="E734" s="1" t="n">
        <v>46295</v>
      </c>
      <c r="F734" t="inlineStr">
        <is>
          <t>KRONOBERGS LÄN</t>
        </is>
      </c>
      <c r="G734" t="inlineStr">
        <is>
          <t>TINGSRYD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46295</v>
      </c>
      <c r="F735" t="inlineStr">
        <is>
          <t>KRONOBERGS LÄN</t>
        </is>
      </c>
      <c r="G735" t="inlineStr">
        <is>
          <t>TINGSRYD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29354-2023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45106</v>
      </c>
      <c r="E736" s="1" t="n">
        <v>46295</v>
      </c>
      <c r="F736" t="inlineStr">
        <is>
          <t>KRONOBERGS LÄN</t>
        </is>
      </c>
      <c r="G736" t="inlineStr">
        <is>
          <t>TINGSRYD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7089-2023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44965</v>
      </c>
      <c r="E737" s="1" t="n">
        <v>46295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6144-2023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44964</v>
      </c>
      <c r="E738" s="1" t="n">
        <v>46295</v>
      </c>
      <c r="F738" t="inlineStr">
        <is>
          <t>KRONOBERGS LÄN</t>
        </is>
      </c>
      <c r="G738" t="inlineStr">
        <is>
          <t>TINGSRYD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22171-2022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44712</v>
      </c>
      <c r="E739" s="1" t="n">
        <v>46295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19765-2023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45051</v>
      </c>
      <c r="E740" s="1" t="n">
        <v>46295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6018-2022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44599</v>
      </c>
      <c r="E741" s="1" t="n">
        <v>46295</v>
      </c>
      <c r="F741" t="inlineStr">
        <is>
          <t>KRONOBERGS LÄN</t>
        </is>
      </c>
      <c r="G741" t="inlineStr">
        <is>
          <t>TINGSRYD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16901-2023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45033</v>
      </c>
      <c r="E742" s="1" t="n">
        <v>46295</v>
      </c>
      <c r="F742" t="inlineStr">
        <is>
          <t>KRONOBERGS LÄN</t>
        </is>
      </c>
      <c r="G742" t="inlineStr">
        <is>
          <t>TINGSRYD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31135-2026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46209</v>
      </c>
      <c r="E743" s="1" t="n">
        <v>46295</v>
      </c>
      <c r="F743" t="inlineStr">
        <is>
          <t>KRONOBERGS LÄN</t>
        </is>
      </c>
      <c r="G743" t="inlineStr">
        <is>
          <t>TINGSRYD</t>
        </is>
      </c>
      <c r="H743" t="inlineStr">
        <is>
          <t>Naturvårdsverket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35455-2026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46262</v>
      </c>
      <c r="E744" s="1" t="n">
        <v>46295</v>
      </c>
      <c r="F744" t="inlineStr">
        <is>
          <t>KRONOBERGS LÄN</t>
        </is>
      </c>
      <c r="G744" t="inlineStr">
        <is>
          <t>TINGSRYD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46045</v>
      </c>
      <c r="E745" s="1" t="n">
        <v>46295</v>
      </c>
      <c r="F745" t="inlineStr">
        <is>
          <t>KRONOBERGS LÄN</t>
        </is>
      </c>
      <c r="G745" t="inlineStr">
        <is>
          <t>TINGSRYD</t>
        </is>
      </c>
      <c r="H745" t="inlineStr">
        <is>
          <t>Övriga Aktiebolag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35458-2026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46262</v>
      </c>
      <c r="E746" s="1" t="n">
        <v>46295</v>
      </c>
      <c r="F746" t="inlineStr">
        <is>
          <t>KRONOBERGS LÄN</t>
        </is>
      </c>
      <c r="G746" t="inlineStr">
        <is>
          <t>TINGSRYD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33437-2023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45129</v>
      </c>
      <c r="E747" s="1" t="n">
        <v>46295</v>
      </c>
      <c r="F747" t="inlineStr">
        <is>
          <t>KRONOBERGS LÄN</t>
        </is>
      </c>
      <c r="G747" t="inlineStr">
        <is>
          <t>TINGSRYD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57111-2022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44895</v>
      </c>
      <c r="E748" s="1" t="n">
        <v>46295</v>
      </c>
      <c r="F748" t="inlineStr">
        <is>
          <t>KRONOBERGS LÄN</t>
        </is>
      </c>
      <c r="G748" t="inlineStr">
        <is>
          <t>TINGSRYD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61462-2022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44916</v>
      </c>
      <c r="E749" s="1" t="n">
        <v>46295</v>
      </c>
      <c r="F749" t="inlineStr">
        <is>
          <t>KRONOBERGS LÄN</t>
        </is>
      </c>
      <c r="G749" t="inlineStr">
        <is>
          <t>TINGSRYD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7589-2023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44972</v>
      </c>
      <c r="E750" s="1" t="n">
        <v>46295</v>
      </c>
      <c r="F750" t="inlineStr">
        <is>
          <t>KRONOBERGS LÄN</t>
        </is>
      </c>
      <c r="G750" t="inlineStr">
        <is>
          <t>TINGSRYD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50635-2024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45601</v>
      </c>
      <c r="E751" s="1" t="n">
        <v>46295</v>
      </c>
      <c r="F751" t="inlineStr">
        <is>
          <t>KRONOBERGS LÄN</t>
        </is>
      </c>
      <c r="G751" t="inlineStr">
        <is>
          <t>TINGSRYD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35904-2026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46266</v>
      </c>
      <c r="E752" s="1" t="n">
        <v>46295</v>
      </c>
      <c r="F752" t="inlineStr">
        <is>
          <t>KRONOBERGS LÄN</t>
        </is>
      </c>
      <c r="G752" t="inlineStr">
        <is>
          <t>TINGSRYD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45680</v>
      </c>
      <c r="E753" s="1" t="n">
        <v>46295</v>
      </c>
      <c r="F753" t="inlineStr">
        <is>
          <t>KRONOBERGS LÄN</t>
        </is>
      </c>
      <c r="G753" t="inlineStr">
        <is>
          <t>TINGSRYD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45139</v>
      </c>
      <c r="E754" s="1" t="n">
        <v>46295</v>
      </c>
      <c r="F754" t="inlineStr">
        <is>
          <t>KRONOBERGS LÄN</t>
        </is>
      </c>
      <c r="G754" t="inlineStr">
        <is>
          <t>TINGSRYD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33355-2023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45117</v>
      </c>
      <c r="E755" s="1" t="n">
        <v>46295</v>
      </c>
      <c r="F755" t="inlineStr">
        <is>
          <t>KRONOBERGS LÄN</t>
        </is>
      </c>
      <c r="G755" t="inlineStr">
        <is>
          <t>TINGSRYD</t>
        </is>
      </c>
      <c r="I755" t="n">
        <v>8.800000000000001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33365-2023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45117</v>
      </c>
      <c r="E756" s="1" t="n">
        <v>46295</v>
      </c>
      <c r="F756" t="inlineStr">
        <is>
          <t>KRONOBERGS LÄN</t>
        </is>
      </c>
      <c r="G756" t="inlineStr">
        <is>
          <t>TINGSRYD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24415-2023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45082</v>
      </c>
      <c r="E757" s="1" t="n">
        <v>46295</v>
      </c>
      <c r="F757" t="inlineStr">
        <is>
          <t>KRONOBERGS LÄN</t>
        </is>
      </c>
      <c r="G757" t="inlineStr">
        <is>
          <t>TINGSRYD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61558-2024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45646</v>
      </c>
      <c r="E758" s="1" t="n">
        <v>46295</v>
      </c>
      <c r="F758" t="inlineStr">
        <is>
          <t>KRONOBERGS LÄN</t>
        </is>
      </c>
      <c r="G758" t="inlineStr">
        <is>
          <t>TINGSRYD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28350-2026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46195</v>
      </c>
      <c r="E759" s="1" t="n">
        <v>46295</v>
      </c>
      <c r="F759" t="inlineStr">
        <is>
          <t>KRONOBERGS LÄN</t>
        </is>
      </c>
      <c r="G759" t="inlineStr">
        <is>
          <t>TINGSRYD</t>
        </is>
      </c>
      <c r="I759" t="n">
        <v>11.8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55652-2022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44888</v>
      </c>
      <c r="E760" s="1" t="n">
        <v>46295</v>
      </c>
      <c r="F760" t="inlineStr">
        <is>
          <t>KRONOBERGS LÄN</t>
        </is>
      </c>
      <c r="G760" t="inlineStr">
        <is>
          <t>TINGSRYD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28345-2026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46195</v>
      </c>
      <c r="E761" s="1" t="n">
        <v>46295</v>
      </c>
      <c r="F761" t="inlineStr">
        <is>
          <t>KRONOBERGS LÄN</t>
        </is>
      </c>
      <c r="G761" t="inlineStr">
        <is>
          <t>TINGSRYD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46195</v>
      </c>
      <c r="E762" s="1" t="n">
        <v>46295</v>
      </c>
      <c r="F762" t="inlineStr">
        <is>
          <t>KRONOBERGS LÄN</t>
        </is>
      </c>
      <c r="G762" t="inlineStr">
        <is>
          <t>TINGSRYD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12044-2024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45377</v>
      </c>
      <c r="E763" s="1" t="n">
        <v>46295</v>
      </c>
      <c r="F763" t="inlineStr">
        <is>
          <t>KRONOBERGS LÄN</t>
        </is>
      </c>
      <c r="G763" t="inlineStr">
        <is>
          <t>TINGSRYD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27905-2026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46191</v>
      </c>
      <c r="E764" s="1" t="n">
        <v>46295</v>
      </c>
      <c r="F764" t="inlineStr">
        <is>
          <t>KRONOBERGS LÄN</t>
        </is>
      </c>
      <c r="G764" t="inlineStr">
        <is>
          <t>TINGSRYD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37313-2026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46274</v>
      </c>
      <c r="E765" s="1" t="n">
        <v>46295</v>
      </c>
      <c r="F765" t="inlineStr">
        <is>
          <t>KRONOBERGS LÄN</t>
        </is>
      </c>
      <c r="G765" t="inlineStr">
        <is>
          <t>TINGSRYD</t>
        </is>
      </c>
      <c r="H765" t="inlineStr">
        <is>
          <t>Sveaskog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49940-2023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45215</v>
      </c>
      <c r="E766" s="1" t="n">
        <v>46295</v>
      </c>
      <c r="F766" t="inlineStr">
        <is>
          <t>KRONOBERGS LÄN</t>
        </is>
      </c>
      <c r="G766" t="inlineStr">
        <is>
          <t>TINGSRYD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45394</v>
      </c>
      <c r="E767" s="1" t="n">
        <v>46295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17346-2023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45035</v>
      </c>
      <c r="E768" s="1" t="n">
        <v>46295</v>
      </c>
      <c r="F768" t="inlineStr">
        <is>
          <t>KRONOBERGS LÄN</t>
        </is>
      </c>
      <c r="G768" t="inlineStr">
        <is>
          <t>TINGSRYD</t>
        </is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15412-2024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45401</v>
      </c>
      <c r="E769" s="1" t="n">
        <v>46295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19786-2024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45432</v>
      </c>
      <c r="E770" s="1" t="n">
        <v>46295</v>
      </c>
      <c r="F770" t="inlineStr">
        <is>
          <t>KRONOBERGS LÄN</t>
        </is>
      </c>
      <c r="G770" t="inlineStr">
        <is>
          <t>TINGSRYD</t>
        </is>
      </c>
      <c r="H770" t="inlineStr">
        <is>
          <t>Sveaskog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17483-2026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46120</v>
      </c>
      <c r="E771" s="1" t="n">
        <v>46295</v>
      </c>
      <c r="F771" t="inlineStr">
        <is>
          <t>KRONOBERGS LÄN</t>
        </is>
      </c>
      <c r="G771" t="inlineStr">
        <is>
          <t>TINGSRYD</t>
        </is>
      </c>
      <c r="I771" t="n">
        <v>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9822-2023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44984</v>
      </c>
      <c r="E772" s="1" t="n">
        <v>46295</v>
      </c>
      <c r="F772" t="inlineStr">
        <is>
          <t>KRONOBERGS LÄN</t>
        </is>
      </c>
      <c r="G772" t="inlineStr">
        <is>
          <t>TINGSRYD</t>
        </is>
      </c>
      <c r="I772" t="n">
        <v>8.9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4730-2025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45688</v>
      </c>
      <c r="E773" s="1" t="n">
        <v>46295</v>
      </c>
      <c r="F773" t="inlineStr">
        <is>
          <t>KRONOBERGS LÄN</t>
        </is>
      </c>
      <c r="G773" t="inlineStr">
        <is>
          <t>TINGSRYD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64069-2023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45279</v>
      </c>
      <c r="E774" s="1" t="n">
        <v>46295</v>
      </c>
      <c r="F774" t="inlineStr">
        <is>
          <t>KRONOBERGS LÄN</t>
        </is>
      </c>
      <c r="G774" t="inlineStr">
        <is>
          <t>TINGSRYD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5295-2024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45331</v>
      </c>
      <c r="E775" s="1" t="n">
        <v>46295</v>
      </c>
      <c r="F775" t="inlineStr">
        <is>
          <t>KRONOBERGS LÄN</t>
        </is>
      </c>
      <c r="G775" t="inlineStr">
        <is>
          <t>TINGSRYD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19824-2025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45771</v>
      </c>
      <c r="E776" s="1" t="n">
        <v>46295</v>
      </c>
      <c r="F776" t="inlineStr">
        <is>
          <t>KRONOBERGS LÄN</t>
        </is>
      </c>
      <c r="G776" t="inlineStr">
        <is>
          <t>TINGSRYD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37868-2026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46279</v>
      </c>
      <c r="E777" s="1" t="n">
        <v>46295</v>
      </c>
      <c r="F777" t="inlineStr">
        <is>
          <t>KRONOBERGS LÄN</t>
        </is>
      </c>
      <c r="G777" t="inlineStr">
        <is>
          <t>TINGSRYD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55982-2023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45240</v>
      </c>
      <c r="E778" s="1" t="n">
        <v>46295</v>
      </c>
      <c r="F778" t="inlineStr">
        <is>
          <t>KRONOBERGS LÄN</t>
        </is>
      </c>
      <c r="G778" t="inlineStr">
        <is>
          <t>TINGSRYD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3338-2023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44949</v>
      </c>
      <c r="E779" s="1" t="n">
        <v>46295</v>
      </c>
      <c r="F779" t="inlineStr">
        <is>
          <t>KRONOBERGS LÄN</t>
        </is>
      </c>
      <c r="G779" t="inlineStr">
        <is>
          <t>TINGSRYD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7408-2023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44971</v>
      </c>
      <c r="E780" s="1" t="n">
        <v>46295</v>
      </c>
      <c r="F780" t="inlineStr">
        <is>
          <t>KRONOBERGS LÄN</t>
        </is>
      </c>
      <c r="G780" t="inlineStr">
        <is>
          <t>TINGSRYD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50817-2024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45601</v>
      </c>
      <c r="E781" s="1" t="n">
        <v>46295</v>
      </c>
      <c r="F781" t="inlineStr">
        <is>
          <t>KRONOBERGS LÄN</t>
        </is>
      </c>
      <c r="G781" t="inlineStr">
        <is>
          <t>TINGSRYD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44839-2024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45574</v>
      </c>
      <c r="E782" s="1" t="n">
        <v>46295</v>
      </c>
      <c r="F782" t="inlineStr">
        <is>
          <t>KRONOBERGS LÄN</t>
        </is>
      </c>
      <c r="G782" t="inlineStr">
        <is>
          <t>TINGSRYD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8777-2024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45356</v>
      </c>
      <c r="E783" s="1" t="n">
        <v>46295</v>
      </c>
      <c r="F783" t="inlineStr">
        <is>
          <t>KRONOBERGS LÄN</t>
        </is>
      </c>
      <c r="G783" t="inlineStr">
        <is>
          <t>TINGSRYD</t>
        </is>
      </c>
      <c r="H783" t="inlineStr">
        <is>
          <t>Övriga Aktiebolag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16898-2025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45755</v>
      </c>
      <c r="E784" s="1" t="n">
        <v>46295</v>
      </c>
      <c r="F784" t="inlineStr">
        <is>
          <t>KRONOBERGS LÄN</t>
        </is>
      </c>
      <c r="G784" t="inlineStr">
        <is>
          <t>TINGSRYD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11600-2025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45727</v>
      </c>
      <c r="E785" s="1" t="n">
        <v>46295</v>
      </c>
      <c r="F785" t="inlineStr">
        <is>
          <t>KRONOBERGS LÄN</t>
        </is>
      </c>
      <c r="G785" t="inlineStr">
        <is>
          <t>TINGSRYD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1001-2023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44935</v>
      </c>
      <c r="E786" s="1" t="n">
        <v>46295</v>
      </c>
      <c r="F786" t="inlineStr">
        <is>
          <t>KRONOBERGS LÄN</t>
        </is>
      </c>
      <c r="G786" t="inlineStr">
        <is>
          <t>TINGSRYD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17065-2023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45034</v>
      </c>
      <c r="E787" s="1" t="n">
        <v>46295</v>
      </c>
      <c r="F787" t="inlineStr">
        <is>
          <t>KRONOBERGS LÄN</t>
        </is>
      </c>
      <c r="G787" t="inlineStr">
        <is>
          <t>TINGSRYD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13193-2023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45002</v>
      </c>
      <c r="E788" s="1" t="n">
        <v>46295</v>
      </c>
      <c r="F788" t="inlineStr">
        <is>
          <t>KRONOBERGS LÄN</t>
        </is>
      </c>
      <c r="G788" t="inlineStr">
        <is>
          <t>TINGSRYD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32810-2023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45124</v>
      </c>
      <c r="E789" s="1" t="n">
        <v>46295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5616-2023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44960</v>
      </c>
      <c r="E790" s="1" t="n">
        <v>46295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39994-2024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45553</v>
      </c>
      <c r="E791" s="1" t="n">
        <v>46295</v>
      </c>
      <c r="F791" t="inlineStr">
        <is>
          <t>KRONOBERGS LÄN</t>
        </is>
      </c>
      <c r="G791" t="inlineStr">
        <is>
          <t>TINGSRYD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11724-2022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44634</v>
      </c>
      <c r="E792" s="1" t="n">
        <v>46295</v>
      </c>
      <c r="F792" t="inlineStr">
        <is>
          <t>KRONOBERGS LÄN</t>
        </is>
      </c>
      <c r="G792" t="inlineStr">
        <is>
          <t>TINGSRYD</t>
        </is>
      </c>
      <c r="I792" t="n">
        <v>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14396-2024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45394</v>
      </c>
      <c r="E793" s="1" t="n">
        <v>46295</v>
      </c>
      <c r="F793" t="inlineStr">
        <is>
          <t>KRONOBERGS LÄN</t>
        </is>
      </c>
      <c r="G793" t="inlineStr">
        <is>
          <t>TINGSRYD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20858-2024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45439</v>
      </c>
      <c r="E794" s="1" t="n">
        <v>46295</v>
      </c>
      <c r="F794" t="inlineStr">
        <is>
          <t>KRONOBERGS LÄN</t>
        </is>
      </c>
      <c r="G794" t="inlineStr">
        <is>
          <t>TINGSRYD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5223-2025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45691</v>
      </c>
      <c r="E795" s="1" t="n">
        <v>46295</v>
      </c>
      <c r="F795" t="inlineStr">
        <is>
          <t>KRONOBERGS LÄN</t>
        </is>
      </c>
      <c r="G795" t="inlineStr">
        <is>
          <t>TINGSRYD</t>
        </is>
      </c>
      <c r="H795" t="inlineStr">
        <is>
          <t>Sveaskog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41126-2024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45559</v>
      </c>
      <c r="E796" s="1" t="n">
        <v>46295</v>
      </c>
      <c r="F796" t="inlineStr">
        <is>
          <t>KRONOBERGS LÄN</t>
        </is>
      </c>
      <c r="G796" t="inlineStr">
        <is>
          <t>TINGSRYD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59082-2024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45637</v>
      </c>
      <c r="E797" s="1" t="n">
        <v>46295</v>
      </c>
      <c r="F797" t="inlineStr">
        <is>
          <t>KRONOBERGS LÄN</t>
        </is>
      </c>
      <c r="G797" t="inlineStr">
        <is>
          <t>TINGSRYD</t>
        </is>
      </c>
      <c r="H797" t="inlineStr">
        <is>
          <t>Övriga Aktiebolag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59092-2024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45637</v>
      </c>
      <c r="E798" s="1" t="n">
        <v>46295</v>
      </c>
      <c r="F798" t="inlineStr">
        <is>
          <t>KRONOBERGS LÄN</t>
        </is>
      </c>
      <c r="G798" t="inlineStr">
        <is>
          <t>TINGSRYD</t>
        </is>
      </c>
      <c r="H798" t="inlineStr">
        <is>
          <t>Övriga Aktiebolag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53768-2024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45615</v>
      </c>
      <c r="E799" s="1" t="n">
        <v>46295</v>
      </c>
      <c r="F799" t="inlineStr">
        <is>
          <t>KRONOBERGS LÄN</t>
        </is>
      </c>
      <c r="G799" t="inlineStr">
        <is>
          <t>TINGSRYD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37393-2024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45540</v>
      </c>
      <c r="E800" s="1" t="n">
        <v>46295</v>
      </c>
      <c r="F800" t="inlineStr">
        <is>
          <t>KRONOBERGS LÄN</t>
        </is>
      </c>
      <c r="G800" t="inlineStr">
        <is>
          <t>TINGSRYD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29182-2026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46295</v>
      </c>
      <c r="F801" t="inlineStr">
        <is>
          <t>KRONOBERGS LÄN</t>
        </is>
      </c>
      <c r="G801" t="inlineStr">
        <is>
          <t>TINGSRYD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32877-2026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46295</v>
      </c>
      <c r="F802" t="inlineStr">
        <is>
          <t>KRONOBERGS LÄN</t>
        </is>
      </c>
      <c r="G802" t="inlineStr">
        <is>
          <t>TINGSRYD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13296-2024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45386</v>
      </c>
      <c r="E803" s="1" t="n">
        <v>46295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45522-2023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45194</v>
      </c>
      <c r="E804" s="1" t="n">
        <v>46295</v>
      </c>
      <c r="F804" t="inlineStr">
        <is>
          <t>KRONOBERGS LÄN</t>
        </is>
      </c>
      <c r="G804" t="inlineStr">
        <is>
          <t>TINGSRYD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44950</v>
      </c>
      <c r="E805" s="1" t="n">
        <v>46295</v>
      </c>
      <c r="F805" t="inlineStr">
        <is>
          <t>KRONOBERGS LÄN</t>
        </is>
      </c>
      <c r="G805" t="inlineStr">
        <is>
          <t>TINGSRYD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4571-2024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45327</v>
      </c>
      <c r="E806" s="1" t="n">
        <v>46295</v>
      </c>
      <c r="F806" t="inlineStr">
        <is>
          <t>KRONOBERGS LÄN</t>
        </is>
      </c>
      <c r="G806" t="inlineStr">
        <is>
          <t>TINGSRYD</t>
        </is>
      </c>
      <c r="H806" t="inlineStr">
        <is>
          <t>Sveaskog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19639-2024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45432</v>
      </c>
      <c r="E807" s="1" t="n">
        <v>46295</v>
      </c>
      <c r="F807" t="inlineStr">
        <is>
          <t>KRONOBERGS LÄN</t>
        </is>
      </c>
      <c r="G807" t="inlineStr">
        <is>
          <t>TINGSRYD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20111-2024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45434</v>
      </c>
      <c r="E808" s="1" t="n">
        <v>46295</v>
      </c>
      <c r="F808" t="inlineStr">
        <is>
          <t>KRONOBERGS LÄN</t>
        </is>
      </c>
      <c r="G808" t="inlineStr">
        <is>
          <t>TINGSRYD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16487-2024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45408</v>
      </c>
      <c r="E809" s="1" t="n">
        <v>46295</v>
      </c>
      <c r="F809" t="inlineStr">
        <is>
          <t>KRONOBERGS LÄN</t>
        </is>
      </c>
      <c r="G809" t="inlineStr">
        <is>
          <t>TINGSRYD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7797-2024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45349</v>
      </c>
      <c r="E810" s="1" t="n">
        <v>46295</v>
      </c>
      <c r="F810" t="inlineStr">
        <is>
          <t>KRONOBERGS LÄN</t>
        </is>
      </c>
      <c r="G810" t="inlineStr">
        <is>
          <t>TINGSRYD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39205-2026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46295</v>
      </c>
      <c r="F811" t="inlineStr">
        <is>
          <t>KRONOBERGS LÄN</t>
        </is>
      </c>
      <c r="G811" t="inlineStr">
        <is>
          <t>TINGSRYD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63444-2023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45274</v>
      </c>
      <c r="E812" s="1" t="n">
        <v>46295</v>
      </c>
      <c r="F812" t="inlineStr">
        <is>
          <t>KRONOBERGS LÄN</t>
        </is>
      </c>
      <c r="G812" t="inlineStr">
        <is>
          <t>TINGSRYD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45670</v>
      </c>
      <c r="E813" s="1" t="n">
        <v>46295</v>
      </c>
      <c r="F813" t="inlineStr">
        <is>
          <t>KRONOBERGS LÄN</t>
        </is>
      </c>
      <c r="G813" t="inlineStr">
        <is>
          <t>TINGSRYD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42087-2024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45562</v>
      </c>
      <c r="E814" s="1" t="n">
        <v>46295</v>
      </c>
      <c r="F814" t="inlineStr">
        <is>
          <t>KRONOBERGS LÄN</t>
        </is>
      </c>
      <c r="G814" t="inlineStr">
        <is>
          <t>TINGSRYD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17936-2024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45419</v>
      </c>
      <c r="E815" s="1" t="n">
        <v>46295</v>
      </c>
      <c r="F815" t="inlineStr">
        <is>
          <t>KRONOBERGS LÄN</t>
        </is>
      </c>
      <c r="G815" t="inlineStr">
        <is>
          <t>TINGSRYD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33326-2024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45519</v>
      </c>
      <c r="E816" s="1" t="n">
        <v>46295</v>
      </c>
      <c r="F816" t="inlineStr">
        <is>
          <t>KRONOBERGS LÄN</t>
        </is>
      </c>
      <c r="G816" t="inlineStr">
        <is>
          <t>TINGSRYD</t>
        </is>
      </c>
      <c r="I816" t="n">
        <v>10.6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44743-2024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45574</v>
      </c>
      <c r="E817" s="1" t="n">
        <v>46295</v>
      </c>
      <c r="F817" t="inlineStr">
        <is>
          <t>KRONOBERGS LÄN</t>
        </is>
      </c>
      <c r="G817" t="inlineStr">
        <is>
          <t>TINGSRYD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25589-2023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45089</v>
      </c>
      <c r="E818" s="1" t="n">
        <v>46295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50798-2024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45602</v>
      </c>
      <c r="E819" s="1" t="n">
        <v>46295</v>
      </c>
      <c r="F819" t="inlineStr">
        <is>
          <t>KRONOBERGS LÄN</t>
        </is>
      </c>
      <c r="G819" t="inlineStr">
        <is>
          <t>TINGSRYD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53766-2024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45615</v>
      </c>
      <c r="E820" s="1" t="n">
        <v>46295</v>
      </c>
      <c r="F820" t="inlineStr">
        <is>
          <t>KRONOBERGS LÄN</t>
        </is>
      </c>
      <c r="G820" t="inlineStr">
        <is>
          <t>TINGSRYD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21506-2025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45782</v>
      </c>
      <c r="E821" s="1" t="n">
        <v>46295</v>
      </c>
      <c r="F821" t="inlineStr">
        <is>
          <t>KRONOBERGS LÄN</t>
        </is>
      </c>
      <c r="G821" t="inlineStr">
        <is>
          <t>TINGSRYD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21913-2025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45784</v>
      </c>
      <c r="E822" s="1" t="n">
        <v>46295</v>
      </c>
      <c r="F822" t="inlineStr">
        <is>
          <t>KRONOBERGS LÄN</t>
        </is>
      </c>
      <c r="G822" t="inlineStr">
        <is>
          <t>TINGSRYD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39850-2024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45553</v>
      </c>
      <c r="E823" s="1" t="n">
        <v>46295</v>
      </c>
      <c r="F823" t="inlineStr">
        <is>
          <t>KRONOBERGS LÄN</t>
        </is>
      </c>
      <c r="G823" t="inlineStr">
        <is>
          <t>TINGSRYD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21914-2025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45784</v>
      </c>
      <c r="E824" s="1" t="n">
        <v>46295</v>
      </c>
      <c r="F824" t="inlineStr">
        <is>
          <t>KRONOBERGS LÄN</t>
        </is>
      </c>
      <c r="G824" t="inlineStr">
        <is>
          <t>TINGSRYD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48953-2024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46295</v>
      </c>
      <c r="F825" t="inlineStr">
        <is>
          <t>KRONOBERGS LÄN</t>
        </is>
      </c>
      <c r="G825" t="inlineStr">
        <is>
          <t>TINGSRYD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58927-2023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45252</v>
      </c>
      <c r="E826" s="1" t="n">
        <v>46295</v>
      </c>
      <c r="F826" t="inlineStr">
        <is>
          <t>KRONOBERGS LÄN</t>
        </is>
      </c>
      <c r="G826" t="inlineStr">
        <is>
          <t>TINGSRYD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48306-2024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45590</v>
      </c>
      <c r="E827" s="1" t="n">
        <v>46295</v>
      </c>
      <c r="F827" t="inlineStr">
        <is>
          <t>KRONOBERGS LÄN</t>
        </is>
      </c>
      <c r="G827" t="inlineStr">
        <is>
          <t>TINGSRYD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38614-2024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45546</v>
      </c>
      <c r="E828" s="1" t="n">
        <v>46295</v>
      </c>
      <c r="F828" t="inlineStr">
        <is>
          <t>KRONOBERGS LÄN</t>
        </is>
      </c>
      <c r="G828" t="inlineStr">
        <is>
          <t>TINGSRYD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3303-2025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45679</v>
      </c>
      <c r="E829" s="1" t="n">
        <v>46295</v>
      </c>
      <c r="F829" t="inlineStr">
        <is>
          <t>KRONOBERGS LÄN</t>
        </is>
      </c>
      <c r="G829" t="inlineStr">
        <is>
          <t>TINGSRYD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8543-2025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45709</v>
      </c>
      <c r="E830" s="1" t="n">
        <v>46295</v>
      </c>
      <c r="F830" t="inlineStr">
        <is>
          <t>KRONOBERGS LÄN</t>
        </is>
      </c>
      <c r="G830" t="inlineStr">
        <is>
          <t>TINGSRYD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41824-2023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45176</v>
      </c>
      <c r="E831" s="1" t="n">
        <v>46295</v>
      </c>
      <c r="F831" t="inlineStr">
        <is>
          <t>KRONOBERGS LÄN</t>
        </is>
      </c>
      <c r="G831" t="inlineStr">
        <is>
          <t>TINGSRYD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45670</v>
      </c>
      <c r="E832" s="1" t="n">
        <v>46295</v>
      </c>
      <c r="F832" t="inlineStr">
        <is>
          <t>KRONOBERGS LÄN</t>
        </is>
      </c>
      <c r="G832" t="inlineStr">
        <is>
          <t>TINGSRYD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21263-2026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46147</v>
      </c>
      <c r="E833" s="1" t="n">
        <v>46295</v>
      </c>
      <c r="F833" t="inlineStr">
        <is>
          <t>KRONOBERGS LÄN</t>
        </is>
      </c>
      <c r="G833" t="inlineStr">
        <is>
          <t>TINGSRYD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3190-2025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45679</v>
      </c>
      <c r="E834" s="1" t="n">
        <v>46295</v>
      </c>
      <c r="F834" t="inlineStr">
        <is>
          <t>KRONOBERGS LÄN</t>
        </is>
      </c>
      <c r="G834" t="inlineStr">
        <is>
          <t>TINGSRYD</t>
        </is>
      </c>
      <c r="I834" t="n">
        <v>5.9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32612-2022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44783</v>
      </c>
      <c r="E835" s="1" t="n">
        <v>46295</v>
      </c>
      <c r="F835" t="inlineStr">
        <is>
          <t>KRONOBERGS LÄN</t>
        </is>
      </c>
      <c r="G835" t="inlineStr">
        <is>
          <t>TINGSRYD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43263-2024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45568</v>
      </c>
      <c r="E836" s="1" t="n">
        <v>46295</v>
      </c>
      <c r="F836" t="inlineStr">
        <is>
          <t>KRONOBERGS LÄN</t>
        </is>
      </c>
      <c r="G836" t="inlineStr">
        <is>
          <t>TINGSRYD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42349-2024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45562</v>
      </c>
      <c r="E837" s="1" t="n">
        <v>46295</v>
      </c>
      <c r="F837" t="inlineStr">
        <is>
          <t>KRONOBERGS LÄN</t>
        </is>
      </c>
      <c r="G837" t="inlineStr">
        <is>
          <t>TINGSRYD</t>
        </is>
      </c>
      <c r="I837" t="n">
        <v>3.3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32142-2024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45511</v>
      </c>
      <c r="E838" s="1" t="n">
        <v>46295</v>
      </c>
      <c r="F838" t="inlineStr">
        <is>
          <t>KRONOBERGS LÄN</t>
        </is>
      </c>
      <c r="G838" t="inlineStr">
        <is>
          <t>TINGSRYD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57020-2025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45978</v>
      </c>
      <c r="E839" s="1" t="n">
        <v>46295</v>
      </c>
      <c r="F839" t="inlineStr">
        <is>
          <t>KRONOBERGS LÄN</t>
        </is>
      </c>
      <c r="G839" t="inlineStr">
        <is>
          <t>TINGSRYD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58819-2024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45636</v>
      </c>
      <c r="E840" s="1" t="n">
        <v>46295</v>
      </c>
      <c r="F840" t="inlineStr">
        <is>
          <t>KRONOBERGS LÄN</t>
        </is>
      </c>
      <c r="G840" t="inlineStr">
        <is>
          <t>TINGSRYD</t>
        </is>
      </c>
      <c r="H840" t="inlineStr">
        <is>
          <t>Övriga Aktiebolag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49965-2024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45597</v>
      </c>
      <c r="E841" s="1" t="n">
        <v>46295</v>
      </c>
      <c r="F841" t="inlineStr">
        <is>
          <t>KRONOBERGS LÄN</t>
        </is>
      </c>
      <c r="G841" t="inlineStr">
        <is>
          <t>TINGSRYD</t>
        </is>
      </c>
      <c r="I841" t="n">
        <v>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34247-2024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45524</v>
      </c>
      <c r="E842" s="1" t="n">
        <v>46295</v>
      </c>
      <c r="F842" t="inlineStr">
        <is>
          <t>KRONOBERGS LÄN</t>
        </is>
      </c>
      <c r="G842" t="inlineStr">
        <is>
          <t>TINGSRYD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45393-2024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45576</v>
      </c>
      <c r="E843" s="1" t="n">
        <v>46295</v>
      </c>
      <c r="F843" t="inlineStr">
        <is>
          <t>KRONOBERGS LÄN</t>
        </is>
      </c>
      <c r="G843" t="inlineStr">
        <is>
          <t>TINGSRYD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40022-2026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46293</v>
      </c>
      <c r="E844" s="1" t="n">
        <v>46295</v>
      </c>
      <c r="F844" t="inlineStr">
        <is>
          <t>KRONOBERGS LÄN</t>
        </is>
      </c>
      <c r="G844" t="inlineStr">
        <is>
          <t>TINGSRYD</t>
        </is>
      </c>
      <c r="I844" t="n">
        <v>8.5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42390-2024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45565</v>
      </c>
      <c r="E845" s="1" t="n">
        <v>46295</v>
      </c>
      <c r="F845" t="inlineStr">
        <is>
          <t>KRONOBERGS LÄN</t>
        </is>
      </c>
      <c r="G845" t="inlineStr">
        <is>
          <t>TINGSRYD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32624-2022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44783</v>
      </c>
      <c r="E846" s="1" t="n">
        <v>46295</v>
      </c>
      <c r="F846" t="inlineStr">
        <is>
          <t>KRONOBERGS LÄN</t>
        </is>
      </c>
      <c r="G846" t="inlineStr">
        <is>
          <t>TINGSRYD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55126-2023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45230</v>
      </c>
      <c r="E847" s="1" t="n">
        <v>46295</v>
      </c>
      <c r="F847" t="inlineStr">
        <is>
          <t>KRONOBERGS LÄN</t>
        </is>
      </c>
      <c r="G847" t="inlineStr">
        <is>
          <t>TINGSRYD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61851-2023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45266</v>
      </c>
      <c r="E848" s="1" t="n">
        <v>46295</v>
      </c>
      <c r="F848" t="inlineStr">
        <is>
          <t>KRONOBERGS LÄN</t>
        </is>
      </c>
      <c r="G848" t="inlineStr">
        <is>
          <t>TINGSRYD</t>
        </is>
      </c>
      <c r="H848" t="inlineStr">
        <is>
          <t>Övriga Aktiebolag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22583-2025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45789</v>
      </c>
      <c r="E849" s="1" t="n">
        <v>46295</v>
      </c>
      <c r="F849" t="inlineStr">
        <is>
          <t>KRONOBERGS LÄN</t>
        </is>
      </c>
      <c r="G849" t="inlineStr">
        <is>
          <t>TINGSRYD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8743-2025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45712</v>
      </c>
      <c r="E850" s="1" t="n">
        <v>46295</v>
      </c>
      <c r="F850" t="inlineStr">
        <is>
          <t>KRONOBERGS LÄN</t>
        </is>
      </c>
      <c r="G850" t="inlineStr">
        <is>
          <t>TINGSRYD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7307-2024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45345</v>
      </c>
      <c r="E851" s="1" t="n">
        <v>46295</v>
      </c>
      <c r="F851" t="inlineStr">
        <is>
          <t>KRONOBERGS LÄN</t>
        </is>
      </c>
      <c r="G851" t="inlineStr">
        <is>
          <t>TINGSRYD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59085-2024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45637</v>
      </c>
      <c r="E852" s="1" t="n">
        <v>46295</v>
      </c>
      <c r="F852" t="inlineStr">
        <is>
          <t>KRONOBERGS LÄN</t>
        </is>
      </c>
      <c r="G852" t="inlineStr">
        <is>
          <t>TINGSRYD</t>
        </is>
      </c>
      <c r="H852" t="inlineStr">
        <is>
          <t>Övriga Aktiebolag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7310-2024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45345</v>
      </c>
      <c r="E853" s="1" t="n">
        <v>46295</v>
      </c>
      <c r="F853" t="inlineStr">
        <is>
          <t>KRONOBERGS LÄN</t>
        </is>
      </c>
      <c r="G853" t="inlineStr">
        <is>
          <t>TINGSRYD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40094-2026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46293</v>
      </c>
      <c r="E854" s="1" t="n">
        <v>46295</v>
      </c>
      <c r="F854" t="inlineStr">
        <is>
          <t>KRONOBERGS LÄN</t>
        </is>
      </c>
      <c r="G854" t="inlineStr">
        <is>
          <t>TINGSRYD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40063-2026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46293</v>
      </c>
      <c r="E855" s="1" t="n">
        <v>46295</v>
      </c>
      <c r="F855" t="inlineStr">
        <is>
          <t>KRONOBERGS LÄN</t>
        </is>
      </c>
      <c r="G855" t="inlineStr">
        <is>
          <t>TINGSRYD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40056-2026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46293</v>
      </c>
      <c r="E856" s="1" t="n">
        <v>46295</v>
      </c>
      <c r="F856" t="inlineStr">
        <is>
          <t>KRONOBERGS LÄN</t>
        </is>
      </c>
      <c r="G856" t="inlineStr">
        <is>
          <t>TINGSRYD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33791-2026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46251</v>
      </c>
      <c r="E857" s="1" t="n">
        <v>46295</v>
      </c>
      <c r="F857" t="inlineStr">
        <is>
          <t>KRONOBERGS LÄN</t>
        </is>
      </c>
      <c r="G857" t="inlineStr">
        <is>
          <t>TINGSRYD</t>
        </is>
      </c>
      <c r="H857" t="inlineStr">
        <is>
          <t>Övriga Aktiebolag</t>
        </is>
      </c>
      <c r="I857" t="n">
        <v>6.9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40242-2026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46294</v>
      </c>
      <c r="E858" s="1" t="n">
        <v>46295</v>
      </c>
      <c r="F858" t="inlineStr">
        <is>
          <t>KRONOBERGS LÄN</t>
        </is>
      </c>
      <c r="G858" t="inlineStr">
        <is>
          <t>TINGSRYD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2051-2022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44672</v>
      </c>
      <c r="E859" s="1" t="n">
        <v>46295</v>
      </c>
      <c r="F859" t="inlineStr">
        <is>
          <t>KRONOBERGS LÄN</t>
        </is>
      </c>
      <c r="G859" t="inlineStr">
        <is>
          <t>TINGSRYD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3193-2022</t>
        </is>
      </c>
      <c r="B860" t="inlineStr">
        <is>
          <t>samrådsanmälan</t>
        </is>
      </c>
      <c r="C860" t="inlineStr">
        <is>
          <t>Åtgärd i nyckelbiotop</t>
        </is>
      </c>
      <c r="D860" s="1" t="n">
        <v>44722</v>
      </c>
      <c r="E860" s="1" t="n">
        <v>46295</v>
      </c>
      <c r="F860" t="inlineStr">
        <is>
          <t>KRONOBERGS LÄN</t>
        </is>
      </c>
      <c r="G860" t="inlineStr">
        <is>
          <t>TINGSRYD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1037-2024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45387</v>
      </c>
      <c r="E861" s="1" t="n">
        <v>46295</v>
      </c>
      <c r="F861" t="inlineStr">
        <is>
          <t>KRONOBERGS LÄN</t>
        </is>
      </c>
      <c r="G861" t="inlineStr">
        <is>
          <t>TINGSRYD</t>
        </is>
      </c>
      <c r="I861" t="n">
        <v>21.1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1046-2024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45387</v>
      </c>
      <c r="E862" s="1" t="n">
        <v>46295</v>
      </c>
      <c r="F862" t="inlineStr">
        <is>
          <t>KRONOBERGS LÄN</t>
        </is>
      </c>
      <c r="G862" t="inlineStr">
        <is>
          <t>TINGSRYD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2146-2024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45456</v>
      </c>
      <c r="E863" s="1" t="n">
        <v>46295</v>
      </c>
      <c r="F863" t="inlineStr">
        <is>
          <t>KRONOBERGS LÄN</t>
        </is>
      </c>
      <c r="G863" t="inlineStr">
        <is>
          <t>TINGSRYD</t>
        </is>
      </c>
      <c r="I863" t="n">
        <v>24.1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4641-2024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45602</v>
      </c>
      <c r="E864" s="1" t="n">
        <v>46295</v>
      </c>
      <c r="F864" t="inlineStr">
        <is>
          <t>KRONOBERGS LÄN</t>
        </is>
      </c>
      <c r="G864" t="inlineStr">
        <is>
          <t>TINGSRYD</t>
        </is>
      </c>
      <c r="I864" t="n">
        <v>17.9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6823-2022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44894</v>
      </c>
      <c r="E865" s="1" t="n">
        <v>46295</v>
      </c>
      <c r="F865" t="inlineStr">
        <is>
          <t>KRONOBERGS LÄN</t>
        </is>
      </c>
      <c r="G865" t="inlineStr">
        <is>
          <t>TINGSRYD</t>
        </is>
      </c>
      <c r="I865" t="n">
        <v>60.6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1943-2024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45443</v>
      </c>
      <c r="E866" s="1" t="n">
        <v>46295</v>
      </c>
      <c r="F866" t="inlineStr">
        <is>
          <t>KRONOBERGS LÄN</t>
        </is>
      </c>
      <c r="G866" t="inlineStr">
        <is>
          <t>TINGSRYD</t>
        </is>
      </c>
      <c r="I866" t="n">
        <v>24.1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6684-2022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44888</v>
      </c>
      <c r="E867" s="1" t="n">
        <v>46295</v>
      </c>
      <c r="F867" t="inlineStr">
        <is>
          <t>KRONOBERGS LÄN</t>
        </is>
      </c>
      <c r="G867" t="inlineStr">
        <is>
          <t>TINGSRYD</t>
        </is>
      </c>
      <c r="I867" t="n">
        <v>45.8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6944-2022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44900</v>
      </c>
      <c r="E868" s="1" t="n">
        <v>46295</v>
      </c>
      <c r="F868" t="inlineStr">
        <is>
          <t>KRONOBERGS LÄN</t>
        </is>
      </c>
      <c r="G868" t="inlineStr">
        <is>
          <t>TINGSRYD</t>
        </is>
      </c>
      <c r="I868" t="n">
        <v>71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691-2024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45359</v>
      </c>
      <c r="E869" s="1" t="n">
        <v>46295</v>
      </c>
      <c r="F869" t="inlineStr">
        <is>
          <t>KRONOBERGS LÄN</t>
        </is>
      </c>
      <c r="G869" t="inlineStr">
        <is>
          <t>TINGSRYD</t>
        </is>
      </c>
      <c r="I869" t="n">
        <v>15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690-2024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45359</v>
      </c>
      <c r="E870" s="1" t="n">
        <v>46295</v>
      </c>
      <c r="F870" t="inlineStr">
        <is>
          <t>KRONOBERGS LÄN</t>
        </is>
      </c>
      <c r="G870" t="inlineStr">
        <is>
          <t>TINGSRYD</t>
        </is>
      </c>
      <c r="I870" t="n">
        <v>37.8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1040-2024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46295</v>
      </c>
      <c r="F871" t="inlineStr">
        <is>
          <t>KRONOBERGS LÄN</t>
        </is>
      </c>
      <c r="G871" t="inlineStr">
        <is>
          <t>TINGSRYD</t>
        </is>
      </c>
      <c r="I871" t="n">
        <v>33.6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2531-2023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45128</v>
      </c>
      <c r="E872" s="1" t="n">
        <v>46295</v>
      </c>
      <c r="F872" t="inlineStr">
        <is>
          <t>KRONOBERGS LÄN</t>
        </is>
      </c>
      <c r="G872" t="inlineStr">
        <is>
          <t>TINGSRYD</t>
        </is>
      </c>
      <c r="I872" t="n">
        <v>17.9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1047-2024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45387</v>
      </c>
      <c r="E873" s="1" t="n">
        <v>46295</v>
      </c>
      <c r="F873" t="inlineStr">
        <is>
          <t>KRONOBERGS LÄN</t>
        </is>
      </c>
      <c r="G873" t="inlineStr">
        <is>
          <t>TINGSRYD</t>
        </is>
      </c>
      <c r="I873" t="n">
        <v>9.4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710-2024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45362</v>
      </c>
      <c r="E874" s="1" t="n">
        <v>46295</v>
      </c>
      <c r="F874" t="inlineStr">
        <is>
          <t>KRONOBERGS LÄN</t>
        </is>
      </c>
      <c r="G874" t="inlineStr">
        <is>
          <t>TINGSRYD</t>
        </is>
      </c>
      <c r="I874" t="n">
        <v>26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3395-2024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45534</v>
      </c>
      <c r="E875" s="1" t="n">
        <v>46295</v>
      </c>
      <c r="F875" t="inlineStr">
        <is>
          <t>KRONOBERGS LÄN</t>
        </is>
      </c>
      <c r="G875" t="inlineStr">
        <is>
          <t>TINGSRYD</t>
        </is>
      </c>
      <c r="I875" t="n">
        <v>36.4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6989-2022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44901</v>
      </c>
      <c r="E876" s="1" t="n">
        <v>46295</v>
      </c>
      <c r="F876" t="inlineStr">
        <is>
          <t>KRONOBERGS LÄN</t>
        </is>
      </c>
      <c r="G876" t="inlineStr">
        <is>
          <t>TINGSRYD</t>
        </is>
      </c>
      <c r="I876" t="n">
        <v>97.7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4636-2022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44792</v>
      </c>
      <c r="E877" s="1" t="n">
        <v>46295</v>
      </c>
      <c r="F877" t="inlineStr">
        <is>
          <t>KRONOBERGS LÄN</t>
        </is>
      </c>
      <c r="G877" t="inlineStr">
        <is>
          <t>TINGSRYD</t>
        </is>
      </c>
      <c r="H877" t="inlineStr">
        <is>
          <t>Kyrkan</t>
        </is>
      </c>
      <c r="I877" t="n">
        <v>51.2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709-2024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45362</v>
      </c>
      <c r="E878" s="1" t="n">
        <v>46295</v>
      </c>
      <c r="F878" t="inlineStr">
        <is>
          <t>KRONOBERGS LÄN</t>
        </is>
      </c>
      <c r="G878" t="inlineStr">
        <is>
          <t>TINGSRYD</t>
        </is>
      </c>
      <c r="I878" t="n">
        <v>81.7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363-2024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46295</v>
      </c>
      <c r="F879" t="inlineStr">
        <is>
          <t>KRONOBERGS LÄN</t>
        </is>
      </c>
      <c r="G879" t="inlineStr">
        <is>
          <t>TINGSRYD</t>
        </is>
      </c>
      <c r="I879" t="n">
        <v>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6544-2022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44883</v>
      </c>
      <c r="E880" s="1" t="n">
        <v>46295</v>
      </c>
      <c r="F880" t="inlineStr">
        <is>
          <t>KRONOBERGS LÄN</t>
        </is>
      </c>
      <c r="G880" t="inlineStr">
        <is>
          <t>TINGSRYD</t>
        </is>
      </c>
      <c r="I880" t="n">
        <v>3.1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360-2024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45330</v>
      </c>
      <c r="E881" s="1" t="n">
        <v>46295</v>
      </c>
      <c r="F881" t="inlineStr">
        <is>
          <t>KRONOBERGS LÄN</t>
        </is>
      </c>
      <c r="G881" t="inlineStr">
        <is>
          <t>TINGSRYD</t>
        </is>
      </c>
      <c r="I881" t="n">
        <v>17.8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44928</v>
      </c>
      <c r="E882" s="1" t="n">
        <v>46295</v>
      </c>
      <c r="F882" t="inlineStr">
        <is>
          <t>KRONOBERGS LÄN</t>
        </is>
      </c>
      <c r="G882" t="inlineStr">
        <is>
          <t>TINGSRYD</t>
        </is>
      </c>
      <c r="I882" t="n">
        <v>25.4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2627-2024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45477</v>
      </c>
      <c r="E883" s="1" t="n">
        <v>46295</v>
      </c>
      <c r="F883" t="inlineStr">
        <is>
          <t>KRONOBERGS LÄN</t>
        </is>
      </c>
      <c r="G883" t="inlineStr">
        <is>
          <t>TINGSRYD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600-2023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46295</v>
      </c>
      <c r="F884" t="inlineStr">
        <is>
          <t>KRONOBERGS LÄN</t>
        </is>
      </c>
      <c r="G884" t="inlineStr">
        <is>
          <t>TINGSRYD</t>
        </is>
      </c>
      <c r="I884" t="n">
        <v>8.1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6948-2022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44900</v>
      </c>
      <c r="E885" s="1" t="n">
        <v>46295</v>
      </c>
      <c r="F885" t="inlineStr">
        <is>
          <t>KRONOBERGS LÄN</t>
        </is>
      </c>
      <c r="G885" t="inlineStr">
        <is>
          <t>TINGSRYD</t>
        </is>
      </c>
      <c r="I885" t="n">
        <v>16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602-2023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44971</v>
      </c>
      <c r="E886" s="1" t="n">
        <v>46295</v>
      </c>
      <c r="F886" t="inlineStr">
        <is>
          <t>KRONOBERGS LÄN</t>
        </is>
      </c>
      <c r="G886" t="inlineStr">
        <is>
          <t>TINGSRYD</t>
        </is>
      </c>
      <c r="I886" t="n">
        <v>7.3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3883-2023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45230</v>
      </c>
      <c r="E887" s="1" t="n">
        <v>46295</v>
      </c>
      <c r="F887" t="inlineStr">
        <is>
          <t>KRONOBERGS LÄN</t>
        </is>
      </c>
      <c r="G887" t="inlineStr">
        <is>
          <t>TINGSRYD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807-2025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45730</v>
      </c>
      <c r="E888" s="1" t="n">
        <v>46295</v>
      </c>
      <c r="F888" t="inlineStr">
        <is>
          <t>KRONOBERGS LÄN</t>
        </is>
      </c>
      <c r="G888" t="inlineStr">
        <is>
          <t>TINGSRYD</t>
        </is>
      </c>
      <c r="I888" t="n">
        <v>17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30-2025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46295</v>
      </c>
      <c r="F889" t="inlineStr">
        <is>
          <t>KRONOBERGS LÄN</t>
        </is>
      </c>
      <c r="G889" t="inlineStr">
        <is>
          <t>TINGSRYD</t>
        </is>
      </c>
      <c r="I889" t="n">
        <v>12.5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759-2025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45727</v>
      </c>
      <c r="E890" s="1" t="n">
        <v>46295</v>
      </c>
      <c r="F890" t="inlineStr">
        <is>
          <t>KRONOBERGS LÄN</t>
        </is>
      </c>
      <c r="G890" t="inlineStr">
        <is>
          <t>TINGSRYD</t>
        </is>
      </c>
      <c r="I890" t="n">
        <v>38.5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31-2025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45665</v>
      </c>
      <c r="E891" s="1" t="n">
        <v>46295</v>
      </c>
      <c r="F891" t="inlineStr">
        <is>
          <t>KRONOBERGS LÄN</t>
        </is>
      </c>
      <c r="G891" t="inlineStr">
        <is>
          <t>TINGSRYD</t>
        </is>
      </c>
      <c r="I891" t="n">
        <v>10.5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1718-2025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45807</v>
      </c>
      <c r="E892" s="1" t="n">
        <v>46295</v>
      </c>
      <c r="F892" t="inlineStr">
        <is>
          <t>KRONOBERGS LÄN</t>
        </is>
      </c>
      <c r="G892" t="inlineStr">
        <is>
          <t>TINGSRYD</t>
        </is>
      </c>
      <c r="I892" t="n">
        <v>23.5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1720-2025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45807</v>
      </c>
      <c r="E893" s="1" t="n">
        <v>46295</v>
      </c>
      <c r="F893" t="inlineStr">
        <is>
          <t>KRONOBERGS LÄN</t>
        </is>
      </c>
      <c r="G893" t="inlineStr">
        <is>
          <t>TINGSRYD</t>
        </is>
      </c>
      <c r="I893" t="n">
        <v>25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106-2026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46038</v>
      </c>
      <c r="E894" s="1" t="n">
        <v>46295</v>
      </c>
      <c r="F894" t="inlineStr">
        <is>
          <t>KRONOBERGS LÄN</t>
        </is>
      </c>
      <c r="G894" t="inlineStr">
        <is>
          <t>TINGSRYD</t>
        </is>
      </c>
      <c r="I894" t="n">
        <v>27.3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132-2026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46295</v>
      </c>
      <c r="F895" t="inlineStr">
        <is>
          <t>KRONOBERGS LÄN</t>
        </is>
      </c>
      <c r="G895" t="inlineStr">
        <is>
          <t>TINGSRYD</t>
        </is>
      </c>
      <c r="I895" t="n">
        <v>30.2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133-2026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46295</v>
      </c>
      <c r="F896" t="inlineStr">
        <is>
          <t>KRONOBERGS LÄN</t>
        </is>
      </c>
      <c r="G896" t="inlineStr">
        <is>
          <t>TINGSRYD</t>
        </is>
      </c>
      <c r="I896" t="n">
        <v>6.1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131-2026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46042</v>
      </c>
      <c r="E897" s="1" t="n">
        <v>46295</v>
      </c>
      <c r="F897" t="inlineStr">
        <is>
          <t>KRONOBERGS LÄN</t>
        </is>
      </c>
      <c r="G897" t="inlineStr">
        <is>
          <t>TINGSRYD</t>
        </is>
      </c>
      <c r="I897" t="n">
        <v>35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134-2026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46042</v>
      </c>
      <c r="E898" s="1" t="n">
        <v>46295</v>
      </c>
      <c r="F898" t="inlineStr">
        <is>
          <t>KRONOBERGS LÄN</t>
        </is>
      </c>
      <c r="G898" t="inlineStr">
        <is>
          <t>TINGSRYD</t>
        </is>
      </c>
      <c r="I898" t="n">
        <v>5.3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175-2026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46045</v>
      </c>
      <c r="E899" s="1" t="n">
        <v>46295</v>
      </c>
      <c r="F899" t="inlineStr">
        <is>
          <t>KRONOBERGS LÄN</t>
        </is>
      </c>
      <c r="G899" t="inlineStr">
        <is>
          <t>TINGSRYD</t>
        </is>
      </c>
      <c r="I899" t="n">
        <v>13.3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1090-2026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46132</v>
      </c>
      <c r="E900" s="1" t="n">
        <v>46295</v>
      </c>
      <c r="F900" t="inlineStr">
        <is>
          <t>KRONOBERGS LÄN</t>
        </is>
      </c>
      <c r="G900" t="inlineStr">
        <is>
          <t>TINGSRYD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1660-2026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46181</v>
      </c>
      <c r="E901" s="1" t="n">
        <v>46295</v>
      </c>
      <c r="F901" t="inlineStr">
        <is>
          <t>KRONOBERGS LÄN</t>
        </is>
      </c>
      <c r="G901" t="inlineStr">
        <is>
          <t>TINGSRYD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1732-2026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46188</v>
      </c>
      <c r="E902" s="1" t="n">
        <v>46295</v>
      </c>
      <c r="F902" t="inlineStr">
        <is>
          <t>KRONOBERGS LÄN</t>
        </is>
      </c>
      <c r="G902" t="inlineStr">
        <is>
          <t>TINGSRYD</t>
        </is>
      </c>
      <c r="I902" t="n">
        <v>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>
      <c r="A903" t="inlineStr">
        <is>
          <t>S 2046-2026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46213</v>
      </c>
      <c r="E903" s="1" t="n">
        <v>46295</v>
      </c>
      <c r="F903" t="inlineStr">
        <is>
          <t>KRONOBERGS LÄN</t>
        </is>
      </c>
      <c r="G903" t="inlineStr">
        <is>
          <t>TINGSRYD</t>
        </is>
      </c>
      <c r="I903" t="n">
        <v>87.5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2026-09-30T01:59:42Z</dcterms:created>
  <dcterms:modified xmlns:dcterms="http://purl.org/dc/terms/" xmlns:xsi="http://www.w3.org/2001/XMLSchema-instance" xsi:type="dcterms:W3CDTF">2026-09-30T01:59:43Z</dcterms:modified>
</cp:coreProperties>
</file>