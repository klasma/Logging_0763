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45475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45475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45475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45475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45475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45475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45475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22170-2019</t>
        </is>
      </c>
      <c r="B9" s="1" t="n">
        <v>43585</v>
      </c>
      <c r="C9" s="1" t="n">
        <v>45475</v>
      </c>
      <c r="D9" t="inlineStr">
        <is>
          <t>KRONOBERGS LÄN</t>
        </is>
      </c>
      <c r="E9" t="inlineStr">
        <is>
          <t>TINGSRYD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HYPERLINK("https://klasma.github.io/Logging_0763/artfynd/A 22170-2019 artfynd.xlsx", "A 22170-2019")</f>
        <v/>
      </c>
      <c r="T9">
        <f>HYPERLINK("https://klasma.github.io/Logging_0763/kartor/A 22170-2019 karta.png", "A 22170-2019")</f>
        <v/>
      </c>
      <c r="V9">
        <f>HYPERLINK("https://klasma.github.io/Logging_0763/klagomål/A 22170-2019 FSC-klagomål.docx", "A 22170-2019")</f>
        <v/>
      </c>
      <c r="W9">
        <f>HYPERLINK("https://klasma.github.io/Logging_0763/klagomålsmail/A 22170-2019 FSC-klagomål mail.docx", "A 22170-2019")</f>
        <v/>
      </c>
      <c r="X9">
        <f>HYPERLINK("https://klasma.github.io/Logging_0763/tillsyn/A 22170-2019 tillsynsbegäran.docx", "A 22170-2019")</f>
        <v/>
      </c>
      <c r="Y9">
        <f>HYPERLINK("https://klasma.github.io/Logging_0763/tillsynsmail/A 22170-2019 tillsynsbegäran mail.docx", "A 22170-2019")</f>
        <v/>
      </c>
    </row>
    <row r="10" ht="15" customHeight="1">
      <c r="A10" t="inlineStr">
        <is>
          <t>A 50912-2019</t>
        </is>
      </c>
      <c r="B10" s="1" t="n">
        <v>43738</v>
      </c>
      <c r="C10" s="1" t="n">
        <v>45475</v>
      </c>
      <c r="D10" t="inlineStr">
        <is>
          <t>KRONOBERGS LÄN</t>
        </is>
      </c>
      <c r="E10" t="inlineStr">
        <is>
          <t>TINGSRYD</t>
        </is>
      </c>
      <c r="G10" t="n">
        <v>14.4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HYPERLINK("https://klasma.github.io/Logging_0763/artfynd/A 50912-2019 artfynd.xlsx", "A 50912-2019")</f>
        <v/>
      </c>
      <c r="T10">
        <f>HYPERLINK("https://klasma.github.io/Logging_0763/kartor/A 50912-2019 karta.png", "A 50912-2019")</f>
        <v/>
      </c>
      <c r="V10">
        <f>HYPERLINK("https://klasma.github.io/Logging_0763/klagomål/A 50912-2019 FSC-klagomål.docx", "A 50912-2019")</f>
        <v/>
      </c>
      <c r="W10">
        <f>HYPERLINK("https://klasma.github.io/Logging_0763/klagomålsmail/A 50912-2019 FSC-klagomål mail.docx", "A 50912-2019")</f>
        <v/>
      </c>
      <c r="X10">
        <f>HYPERLINK("https://klasma.github.io/Logging_0763/tillsyn/A 50912-2019 tillsynsbegäran.docx", "A 50912-2019")</f>
        <v/>
      </c>
      <c r="Y10">
        <f>HYPERLINK("https://klasma.github.io/Logging_0763/tillsynsmail/A 50912-2019 tillsynsbegäran mail.docx", "A 50912-2019")</f>
        <v/>
      </c>
      <c r="Z10">
        <f>HYPERLINK("https://klasma.github.io/Logging_0763/fåglar/A 50912-2019 prioriterade fågelarter.docx", "A 50912-2019")</f>
        <v/>
      </c>
    </row>
    <row r="11" ht="15" customHeight="1">
      <c r="A11" t="inlineStr">
        <is>
          <t>A 4022-2020</t>
        </is>
      </c>
      <c r="B11" s="1" t="n">
        <v>43857</v>
      </c>
      <c r="C11" s="1" t="n">
        <v>45475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HYPERLINK("https://klasma.github.io/Logging_0763/artfynd/A 4022-2020 artfynd.xlsx", "A 4022-2020")</f>
        <v/>
      </c>
      <c r="T11">
        <f>HYPERLINK("https://klasma.github.io/Logging_0763/kartor/A 4022-2020 karta.png", "A 4022-2020")</f>
        <v/>
      </c>
      <c r="V11">
        <f>HYPERLINK("https://klasma.github.io/Logging_0763/klagomål/A 4022-2020 FSC-klagomål.docx", "A 4022-2020")</f>
        <v/>
      </c>
      <c r="W11">
        <f>HYPERLINK("https://klasma.github.io/Logging_0763/klagomålsmail/A 4022-2020 FSC-klagomål mail.docx", "A 4022-2020")</f>
        <v/>
      </c>
      <c r="X11">
        <f>HYPERLINK("https://klasma.github.io/Logging_0763/tillsyn/A 4022-2020 tillsynsbegäran.docx", "A 4022-2020")</f>
        <v/>
      </c>
      <c r="Y11">
        <f>HYPERLINK("https://klasma.github.io/Logging_0763/tillsynsmail/A 4022-2020 tillsynsbegäran mail.docx", "A 4022-2020")</f>
        <v/>
      </c>
    </row>
    <row r="12" ht="15" customHeight="1">
      <c r="A12" t="inlineStr">
        <is>
          <t>A 13774-2020</t>
        </is>
      </c>
      <c r="B12" s="1" t="n">
        <v>43903</v>
      </c>
      <c r="C12" s="1" t="n">
        <v>45475</v>
      </c>
      <c r="D12" t="inlineStr">
        <is>
          <t>KRONOBERGS LÄN</t>
        </is>
      </c>
      <c r="E12" t="inlineStr">
        <is>
          <t>TINGSRYD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13774-2020 artfynd.xlsx", "A 13774-2020")</f>
        <v/>
      </c>
      <c r="T12">
        <f>HYPERLINK("https://klasma.github.io/Logging_0763/kartor/A 13774-2020 karta.png", "A 13774-2020")</f>
        <v/>
      </c>
      <c r="V12">
        <f>HYPERLINK("https://klasma.github.io/Logging_0763/klagomål/A 13774-2020 FSC-klagomål.docx", "A 13774-2020")</f>
        <v/>
      </c>
      <c r="W12">
        <f>HYPERLINK("https://klasma.github.io/Logging_0763/klagomålsmail/A 13774-2020 FSC-klagomål mail.docx", "A 13774-2020")</f>
        <v/>
      </c>
      <c r="X12">
        <f>HYPERLINK("https://klasma.github.io/Logging_0763/tillsyn/A 13774-2020 tillsynsbegäran.docx", "A 13774-2020")</f>
        <v/>
      </c>
      <c r="Y12">
        <f>HYPERLINK("https://klasma.github.io/Logging_0763/tillsynsmail/A 13774-2020 tillsynsbegäran mail.docx", "A 13774-2020")</f>
        <v/>
      </c>
    </row>
    <row r="13" ht="15" customHeight="1">
      <c r="A13" t="inlineStr">
        <is>
          <t>A 47090-2020</t>
        </is>
      </c>
      <c r="B13" s="1" t="n">
        <v>44096</v>
      </c>
      <c r="C13" s="1" t="n">
        <v>45475</v>
      </c>
      <c r="D13" t="inlineStr">
        <is>
          <t>KRONOBERGS LÄN</t>
        </is>
      </c>
      <c r="E13" t="inlineStr">
        <is>
          <t>TINGSRYD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47090-2020 artfynd.xlsx", "A 47090-2020")</f>
        <v/>
      </c>
      <c r="T13">
        <f>HYPERLINK("https://klasma.github.io/Logging_0763/kartor/A 47090-2020 karta.png", "A 47090-2020")</f>
        <v/>
      </c>
      <c r="V13">
        <f>HYPERLINK("https://klasma.github.io/Logging_0763/klagomål/A 47090-2020 FSC-klagomål.docx", "A 47090-2020")</f>
        <v/>
      </c>
      <c r="W13">
        <f>HYPERLINK("https://klasma.github.io/Logging_0763/klagomålsmail/A 47090-2020 FSC-klagomål mail.docx", "A 47090-2020")</f>
        <v/>
      </c>
      <c r="X13">
        <f>HYPERLINK("https://klasma.github.io/Logging_0763/tillsyn/A 47090-2020 tillsynsbegäran.docx", "A 47090-2020")</f>
        <v/>
      </c>
      <c r="Y13">
        <f>HYPERLINK("https://klasma.github.io/Logging_0763/tillsynsmail/A 47090-2020 tillsynsbegäran mail.docx", "A 47090-2020")</f>
        <v/>
      </c>
    </row>
    <row r="14" ht="15" customHeight="1">
      <c r="A14" t="inlineStr">
        <is>
          <t>A 26440-2021</t>
        </is>
      </c>
      <c r="B14" s="1" t="n">
        <v>44348</v>
      </c>
      <c r="C14" s="1" t="n">
        <v>45475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HYPERLINK("https://klasma.github.io/Logging_0763/artfynd/A 26440-2021 artfynd.xlsx", "A 26440-2021")</f>
        <v/>
      </c>
      <c r="T14">
        <f>HYPERLINK("https://klasma.github.io/Logging_0763/kartor/A 26440-2021 karta.png", "A 26440-2021")</f>
        <v/>
      </c>
      <c r="V14">
        <f>HYPERLINK("https://klasma.github.io/Logging_0763/klagomål/A 26440-2021 FSC-klagomål.docx", "A 26440-2021")</f>
        <v/>
      </c>
      <c r="W14">
        <f>HYPERLINK("https://klasma.github.io/Logging_0763/klagomålsmail/A 26440-2021 FSC-klagomål mail.docx", "A 26440-2021")</f>
        <v/>
      </c>
      <c r="X14">
        <f>HYPERLINK("https://klasma.github.io/Logging_0763/tillsyn/A 26440-2021 tillsynsbegäran.docx", "A 26440-2021")</f>
        <v/>
      </c>
      <c r="Y14">
        <f>HYPERLINK("https://klasma.github.io/Logging_0763/tillsynsmail/A 26440-2021 tillsynsbegäran mail.docx", "A 26440-2021")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45475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6134-2022</t>
        </is>
      </c>
      <c r="B16" s="1" t="n">
        <v>44599</v>
      </c>
      <c r="C16" s="1" t="n">
        <v>45475</v>
      </c>
      <c r="D16" t="inlineStr">
        <is>
          <t>KRONOBERGS LÄN</t>
        </is>
      </c>
      <c r="E16" t="inlineStr">
        <is>
          <t>TINGSRYD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6134-2022 artfynd.xlsx", "A 6134-2022")</f>
        <v/>
      </c>
      <c r="T16">
        <f>HYPERLINK("https://klasma.github.io/Logging_0763/kartor/A 6134-2022 karta.png", "A 6134-2022")</f>
        <v/>
      </c>
      <c r="U16">
        <f>HYPERLINK("https://klasma.github.io/Logging_0763/knärot/A 6134-2022 karta knärot.png", "A 6134-2022")</f>
        <v/>
      </c>
      <c r="V16">
        <f>HYPERLINK("https://klasma.github.io/Logging_0763/klagomål/A 6134-2022 FSC-klagomål.docx", "A 6134-2022")</f>
        <v/>
      </c>
      <c r="W16">
        <f>HYPERLINK("https://klasma.github.io/Logging_0763/klagomålsmail/A 6134-2022 FSC-klagomål mail.docx", "A 6134-2022")</f>
        <v/>
      </c>
      <c r="X16">
        <f>HYPERLINK("https://klasma.github.io/Logging_0763/tillsyn/A 6134-2022 tillsynsbegäran.docx", "A 6134-2022")</f>
        <v/>
      </c>
      <c r="Y16">
        <f>HYPERLINK("https://klasma.github.io/Logging_0763/tillsynsmail/A 6134-2022 tillsynsbegäran mail.docx", "A 6134-2022")</f>
        <v/>
      </c>
    </row>
    <row r="17" ht="15" customHeight="1">
      <c r="A17" t="inlineStr">
        <is>
          <t>A 43291-2022</t>
        </is>
      </c>
      <c r="B17" s="1" t="n">
        <v>44834</v>
      </c>
      <c r="C17" s="1" t="n">
        <v>45475</v>
      </c>
      <c r="D17" t="inlineStr">
        <is>
          <t>KRONOBERGS LÄN</t>
        </is>
      </c>
      <c r="E17" t="inlineStr">
        <is>
          <t>TINGSRYD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HYPERLINK("https://klasma.github.io/Logging_0763/artfynd/A 43291-2022 artfynd.xlsx", "A 43291-2022")</f>
        <v/>
      </c>
      <c r="T17">
        <f>HYPERLINK("https://klasma.github.io/Logging_0763/kartor/A 43291-2022 karta.png", "A 43291-2022")</f>
        <v/>
      </c>
      <c r="V17">
        <f>HYPERLINK("https://klasma.github.io/Logging_0763/klagomål/A 43291-2022 FSC-klagomål.docx", "A 43291-2022")</f>
        <v/>
      </c>
      <c r="W17">
        <f>HYPERLINK("https://klasma.github.io/Logging_0763/klagomålsmail/A 43291-2022 FSC-klagomål mail.docx", "A 43291-2022")</f>
        <v/>
      </c>
      <c r="X17">
        <f>HYPERLINK("https://klasma.github.io/Logging_0763/tillsyn/A 43291-2022 tillsynsbegäran.docx", "A 43291-2022")</f>
        <v/>
      </c>
      <c r="Y17">
        <f>HYPERLINK("https://klasma.github.io/Logging_0763/tillsynsmail/A 43291-2022 tillsynsbegäran mail.docx", "A 43291-2022")</f>
        <v/>
      </c>
    </row>
    <row r="18" ht="15" customHeight="1">
      <c r="A18" t="inlineStr">
        <is>
          <t>A 55924-2022</t>
        </is>
      </c>
      <c r="B18" s="1" t="n">
        <v>44886</v>
      </c>
      <c r="C18" s="1" t="n">
        <v>45475</v>
      </c>
      <c r="D18" t="inlineStr">
        <is>
          <t>KRONOBERGS LÄN</t>
        </is>
      </c>
      <c r="E18" t="inlineStr">
        <is>
          <t>TINGSRYD</t>
        </is>
      </c>
      <c r="F18" t="inlineStr">
        <is>
          <t>Kyrkan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55924-2022 artfynd.xlsx", "A 55924-2022")</f>
        <v/>
      </c>
      <c r="T18">
        <f>HYPERLINK("https://klasma.github.io/Logging_0763/kartor/A 55924-2022 karta.png", "A 55924-2022")</f>
        <v/>
      </c>
      <c r="V18">
        <f>HYPERLINK("https://klasma.github.io/Logging_0763/klagomål/A 55924-2022 FSC-klagomål.docx", "A 55924-2022")</f>
        <v/>
      </c>
      <c r="W18">
        <f>HYPERLINK("https://klasma.github.io/Logging_0763/klagomålsmail/A 55924-2022 FSC-klagomål mail.docx", "A 55924-2022")</f>
        <v/>
      </c>
      <c r="X18">
        <f>HYPERLINK("https://klasma.github.io/Logging_0763/tillsyn/A 55924-2022 tillsynsbegäran.docx", "A 55924-2022")</f>
        <v/>
      </c>
      <c r="Y18">
        <f>HYPERLINK("https://klasma.github.io/Logging_0763/tillsynsmail/A 55924-2022 tillsynsbegäran mail.docx", "A 55924-2022")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45475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11270-2023</t>
        </is>
      </c>
      <c r="B20" s="1" t="n">
        <v>44992</v>
      </c>
      <c r="C20" s="1" t="n">
        <v>45475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45475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45475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45475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45475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45475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45475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45475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45475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45475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45475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45475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45475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45475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45475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45475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45475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45475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45475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45475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45475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45475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45475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45475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45475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45475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45475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45475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45475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45475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45475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45475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45475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45475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45475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45475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45475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45475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45475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45475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45475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45475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45475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45475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45475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45475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45475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45475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45475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45475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45475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45475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45475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45475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45475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45475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45475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45475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45475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45475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45475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45475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45475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45475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45475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45475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45475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45475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45475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45475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45475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45475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45475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45475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45475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45475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45475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45475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45475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45475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45475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45475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45475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45475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45475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45475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45475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45475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45475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45475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45475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45475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45475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45475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45475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45475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45475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45475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45475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45475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45475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45475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45475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45475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45475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45475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45475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45475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45475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45475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45475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45475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45475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45475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45475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45475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45475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45475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45475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45475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45475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45475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45475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45475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45475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45475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45475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45475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45475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45475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45475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45475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45475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45475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45475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45475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45475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45475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45475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45475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45475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45475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45475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45475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45475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45475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45475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45475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45475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45475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45475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45475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45475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45475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45475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45475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45475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45475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45475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45475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45475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45475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45475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45475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45475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45475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45475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45475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45475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45475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45475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45475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45475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45475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45475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45475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45475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45475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45475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45475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45475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45475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45475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45475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45475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45475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45475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45475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45475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45475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45475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45475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45475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45475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45475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45475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45475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45475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45475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45475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45475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45475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45475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45475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45475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45475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45475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45475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45475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45475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45475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45475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45475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45475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45475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45475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45475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45475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45475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45475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45475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45475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45475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45475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45475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45475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45475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45475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45475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45475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45475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45475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45475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45475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45475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45475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45475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45475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45475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45475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45475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45475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45475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45475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45475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45475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45475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45475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45475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45475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45475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45475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45475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45475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45475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45475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45475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45475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45475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45475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45475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45475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45475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45475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45475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45475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45475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45475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45475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45475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45475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45475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45475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45475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45475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45475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45475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45475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45475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45475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45475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45475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45475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45475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45475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45475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45475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45475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45475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45475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45475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45475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45475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45475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45475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45475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45475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45475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45475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45475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45475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45475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45475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45475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45475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45475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45475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45475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45475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45475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45475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45475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45475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45475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45475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45475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45475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45475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45475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45475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45475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45475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45475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45475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45475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45475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45475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45475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45475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45475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45475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45475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45475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45475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45475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45475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45475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45475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45475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45475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45475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45475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45475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45475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45475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45475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45475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45475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45475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45475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45475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45475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45475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45475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45475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45475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45475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45475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45475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45475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45475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45475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45475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45475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45475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45475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45475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45475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45475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45475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45475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45475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45475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45475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45475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45475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45475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45475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45475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45475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45475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45475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45475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45475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45475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45475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45475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45475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45475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45475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45475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45475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45475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45475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45475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45475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45475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45475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45475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45475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45475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45475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45475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45475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45475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45475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45475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45475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45475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45475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45475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45475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45475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45475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45475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45475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45475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45475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45475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45475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45475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45475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45475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45475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45475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45475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45475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45475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45475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45475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45475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45475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45475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45475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45475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45475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45475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45475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45475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45475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45475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45475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45475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45475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45475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45475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45475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45475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45475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45475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45475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45475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45475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45475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45475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45475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45475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45475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45475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45475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45475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45475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45475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45475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45475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45475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45475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45475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45475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45475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45475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45475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45475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45475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45475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45475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45475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45475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45475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45475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45475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45475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45475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45475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45475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45475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45475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45475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45475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45475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45475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45475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45475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45475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45475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45475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45475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45475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45475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45475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45475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45475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45475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45475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45475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45475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45475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45475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45475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45475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45475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45475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45475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45475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45475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45475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45475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45475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45475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45475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45475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45475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45475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45475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45475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45475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45475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45475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45475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45475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45475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45475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45475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45475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45475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45475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45475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45475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45475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45475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45475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45475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45475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45475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45475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45475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45475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45475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45475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45475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45475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45475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45475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45475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45475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45475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45475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45475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45475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45475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45475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45475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45475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45475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45475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45475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45475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45475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45475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45475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45475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45475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45475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45475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45475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45475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45475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45475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45475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45475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45475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45475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45475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45475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45475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45475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45475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45475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45475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45475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45475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45475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45475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45475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45475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45475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45475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45475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45475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45475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45475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45475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45475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45475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45475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45475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45475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45475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45475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45475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45475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45475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45475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45475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45475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45475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45475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45475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45475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45475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45475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45475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45475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45475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45475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45475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45475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45475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45475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45475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45475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45475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45475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45475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45475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45475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45475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45475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45475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45475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45475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45475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45475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45475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45475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45475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45475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45475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45475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45475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45475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45475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45475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45475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45475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45475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45475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45475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45475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45475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45475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45475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45475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45475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45475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45475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45475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45475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45475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45475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45475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45475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45475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45475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45475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45475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45475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45475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45475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45475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45475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45475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45475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45475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45475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45475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45475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45475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45475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45475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45475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45475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45475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45475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45475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45475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45475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45475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45475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45475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45475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45475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45475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45475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45475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45475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45475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45475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45475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45475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45475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45475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45475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45475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45475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45475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45475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45475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45475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45475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45475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45475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45475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45475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45475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45475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45475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45475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45475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45475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45475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45475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45475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45475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45475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45475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45475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45475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45475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45475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45475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45475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45475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45475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45475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45475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45475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45475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45475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45475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45475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45475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45475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45475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45475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45475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45475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45475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45475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45475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45475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45475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45475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45475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45475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45475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45475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45475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45475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45475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45475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45475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45475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45475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45475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45475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45475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45475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45475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45475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45475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45475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45475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45475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45475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45475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45475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45475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45475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45475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45475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45475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45475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45475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45475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45475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45475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45475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45475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45475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45475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45475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45475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45475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45475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45475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45475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45475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45475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45475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45475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45475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45475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45475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45475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45475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45475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45475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45475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45475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45475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45475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45475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45475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45475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45475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45475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45475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45475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45475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45475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45475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45475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45475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45475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45475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45475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45475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45475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45475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45475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45475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45475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45475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45475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45475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45475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45475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45475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45475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45475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45475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45475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45475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45475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45475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45475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45475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45475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45475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45475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45475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45475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45475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45475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45475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45475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45475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45475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45475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45475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45475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45475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45475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45475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45475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45475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45475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45475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45475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45475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45475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45475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45475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45475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45475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45475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45475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45475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45475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45475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45475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45475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45475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45475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45475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45475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45475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45475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45475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45475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45475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45475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45475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45475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45475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45475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45475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45475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45475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45475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45475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45475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45475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45475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45475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45475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45475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45475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45475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45475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45475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45475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45475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45475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45475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45475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45475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45475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45475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45475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45475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45475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45475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45475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45475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45475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45475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45475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45475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45475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45475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45475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45475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45475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45475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45475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45475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45475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45475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45475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45475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45475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45475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45475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45475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45475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45475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45475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45475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45475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45475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45475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45475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45475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45475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45475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45475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45475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45475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45475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45475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45475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45475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45475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45475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45475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45475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45475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45475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45475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45475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45475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45475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45475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45475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45475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45475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45475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45475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45475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45475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45475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45475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45475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45475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45475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45475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45475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45475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45475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45475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45475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45475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45475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45475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45475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45475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45475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45475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45475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45475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45475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45475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45475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45475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45475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45475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45475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45475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45475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45475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45475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45475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45475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45475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45475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45475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45475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45475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45475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45475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45475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45475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45475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45475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45475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45475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45475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45475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45475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45475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45475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45475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45475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45475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45475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45475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45475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45475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45475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45475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45475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45475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45475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45475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45475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45475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45475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45475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45475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45475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45475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45475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45475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45475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45475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45475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45475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45475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45475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45475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45475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45475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45475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45475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45475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45475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45475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45475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45475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45475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45475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45475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45475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45475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45475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45475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45475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45475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45475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45475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45475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45475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45475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45475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45475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45475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45475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45475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45475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45475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45475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45475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45475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45475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45475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45475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45475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45475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45475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45475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45475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45475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45475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45475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45475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45475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45475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45475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45475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45475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45475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45475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45475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45475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45475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45475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45475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45475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45475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45475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45475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45475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45475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45475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45475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45475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45475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45475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45475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45475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45475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45475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45475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45475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45475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45475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45475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45475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45475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45475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45475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45475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45475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45475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45475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45475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45475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45475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45475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45475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45475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45475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45475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45475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45475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45475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45475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45475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45475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45475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45475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45475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45475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45475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45475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45475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45475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45475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45475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45475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45475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45475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45475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45475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45475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45475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45475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45475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45475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45475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45475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45475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45475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45475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45475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45475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45475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45475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45475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45475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45475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45475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45475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45475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45475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45475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45475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45475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45475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45475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45475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45475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45475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45475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45475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45475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45475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45475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45475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45475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45475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45475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45475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45475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45475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45475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45475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45475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45475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45475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45475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45475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45475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45475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45475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45475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45475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45475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45475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45475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45475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45475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45475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45475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45475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45475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45475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45475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45475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45475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45475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45475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45475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45475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45475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45475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45475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45475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45475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45475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45475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45475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45475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45475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45475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45475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45475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45475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45475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45475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45475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45475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45475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45475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45475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45475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45475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45475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45475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45475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45475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45475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45475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45475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45475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45475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45475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45475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45475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45475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45475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45475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45475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45475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45475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45475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45475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45475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45475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45475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45475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45475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45475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45475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45475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45475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45475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45475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45475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45475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45475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45475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45475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45475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45475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45475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45475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45475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45475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45475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45475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45475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45475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45475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45475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45475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45475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45475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45475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45475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45475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45475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45475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45475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45475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45475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45475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45475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45475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45475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45475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45475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45475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45475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45475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45475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45475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45475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45475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45475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45475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45475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45475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45475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45475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45475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45475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45475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45475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45475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45475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45475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45475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45475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45475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45475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45475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45475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45475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45475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45475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45475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45475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45475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45475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45475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45475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45475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45475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45475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45475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45475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45475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45475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45475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45475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45475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45475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45475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45475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45475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45475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45475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45475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45475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45475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45475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45475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45475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45475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45475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45475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45475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45475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45475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45475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45475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45475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45475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45475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45475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45475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45475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45475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45475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45475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45475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45475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45475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45475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45475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45475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45475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45475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45475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45475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45475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45475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45475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45475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45475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45475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45475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45475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45475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45475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45475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45475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45475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45475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45475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45475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45475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45475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45475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45475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45475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45475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45475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45475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45475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45475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45475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45475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45475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45475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45475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45475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45475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45475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45475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45475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45475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45475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45475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45475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22581-2024</t>
        </is>
      </c>
      <c r="B1488" s="1" t="n">
        <v>45447</v>
      </c>
      <c r="C1488" s="1" t="n">
        <v>45475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22606-2024</t>
        </is>
      </c>
      <c r="B1489" s="1" t="n">
        <v>45447</v>
      </c>
      <c r="C1489" s="1" t="n">
        <v>45475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22970-2024</t>
        </is>
      </c>
      <c r="B1490" s="1" t="n">
        <v>45449</v>
      </c>
      <c r="C1490" s="1" t="n">
        <v>45475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22968-2024</t>
        </is>
      </c>
      <c r="B1491" s="1" t="n">
        <v>45449</v>
      </c>
      <c r="C1491" s="1" t="n">
        <v>45475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22969-2024</t>
        </is>
      </c>
      <c r="B1492" s="1" t="n">
        <v>45449</v>
      </c>
      <c r="C1492" s="1" t="n">
        <v>45475</v>
      </c>
      <c r="D1492" t="inlineStr">
        <is>
          <t>KRONOBERGS LÄN</t>
        </is>
      </c>
      <c r="E1492" t="inlineStr">
        <is>
          <t>TINGSRYD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45475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45475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45475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45475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45475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45475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24886-2024</t>
        </is>
      </c>
      <c r="B1499" s="1" t="n">
        <v>45461</v>
      </c>
      <c r="C1499" s="1" t="n">
        <v>45475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25009-2024</t>
        </is>
      </c>
      <c r="B1500" s="1" t="n">
        <v>45461</v>
      </c>
      <c r="C1500" s="1" t="n">
        <v>45475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45475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45475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45475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25773-2024</t>
        </is>
      </c>
      <c r="B1504" s="1" t="n">
        <v>45466</v>
      </c>
      <c r="C1504" s="1" t="n">
        <v>45475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45475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45475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45475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45475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45475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27421-2024</t>
        </is>
      </c>
      <c r="B1510" s="1" t="n">
        <v>45474</v>
      </c>
      <c r="C1510" s="1" t="n">
        <v>45475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2024-07-02T10:38:56Z</dcterms:created>
  <dcterms:modified xmlns:dcterms="http://purl.org/dc/terms/" xmlns:xsi="http://www.w3.org/2001/XMLSchema-instance" xsi:type="dcterms:W3CDTF">2024-07-02T10:38:58Z</dcterms:modified>
</cp:coreProperties>
</file>