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46221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46221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46221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46221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Skogsalm
Lönnlav
Spillkråka</t>
        </is>
      </c>
      <c r="V12">
        <f>HYPERLINK("https://klasma.github.io/Logging_0763/artfynd/A 42487-2024 artfynd.xlsx", "A 42487-2024")</f>
        <v/>
      </c>
      <c r="W12">
        <f>HYPERLINK("https://klasma.github.io/Logging_0763/kartor/A 42487-2024 karta.png", "A 42487-2024")</f>
        <v/>
      </c>
      <c r="Y12">
        <f>HYPERLINK("https://klasma.github.io/Logging_0763/klagomål/A 42487-2024 FSC-klagomål.docx", "A 42487-2024")</f>
        <v/>
      </c>
      <c r="Z12">
        <f>HYPERLINK("https://klasma.github.io/Logging_0763/klagomålsmail/A 42487-2024 FSC-klagomål mail.docx", "A 42487-2024")</f>
        <v/>
      </c>
      <c r="AA12">
        <f>HYPERLINK("https://klasma.github.io/Logging_0763/tillsyn/A 42487-2024 tillsynsbegäran.docx", "A 42487-2024")</f>
        <v/>
      </c>
      <c r="AB12">
        <f>HYPERLINK("https://klasma.github.io/Logging_0763/tillsynsmail/A 42487-2024 tillsynsbegäran mail.docx", "A 42487-2024")</f>
        <v/>
      </c>
      <c r="AC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46221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s="2" t="inlineStr">
        <is>
          <t>Knärot
Blomkålssvamp
Grönpyrola</t>
        </is>
      </c>
      <c r="V13">
        <f>HYPERLINK("https://klasma.github.io/Logging_0763/artfynd/A 11575-2023 artfynd.xlsx", "A 11575-2023")</f>
        <v/>
      </c>
      <c r="W13">
        <f>HYPERLINK("https://klasma.github.io/Logging_0763/kartor/A 11575-2023 karta.png", "A 11575-2023")</f>
        <v/>
      </c>
      <c r="X13">
        <f>HYPERLINK("https://klasma.github.io/Logging_0763/knärot/A 11575-2023 karta knärot.png", "A 11575-2023")</f>
        <v/>
      </c>
      <c r="Y13">
        <f>HYPERLINK("https://klasma.github.io/Logging_0763/klagomål/A 11575-2023 FSC-klagomål.docx", "A 11575-2023")</f>
        <v/>
      </c>
      <c r="Z13">
        <f>HYPERLINK("https://klasma.github.io/Logging_0763/klagomålsmail/A 11575-2023 FSC-klagomål mail.docx", "A 11575-2023")</f>
        <v/>
      </c>
      <c r="AA13">
        <f>HYPERLINK("https://klasma.github.io/Logging_0763/tillsyn/A 11575-2023 tillsynsbegäran.docx", "A 11575-2023")</f>
        <v/>
      </c>
      <c r="AB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46221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Vårstarr
Västlig hakmossa</t>
        </is>
      </c>
      <c r="V15">
        <f>HYPERLINK("https://klasma.github.io/Logging_0763/artfynd/A 30330-2025 artfynd.xlsx", "A 30330-2025")</f>
        <v/>
      </c>
      <c r="W15">
        <f>HYPERLINK("https://klasma.github.io/Logging_0763/kartor/A 30330-2025 karta.png", "A 30330-2025")</f>
        <v/>
      </c>
      <c r="Y15">
        <f>HYPERLINK("https://klasma.github.io/Logging_0763/klagomål/A 30330-2025 FSC-klagomål.docx", "A 30330-2025")</f>
        <v/>
      </c>
      <c r="Z15">
        <f>HYPERLINK("https://klasma.github.io/Logging_0763/klagomålsmail/A 30330-2025 FSC-klagomål mail.docx", "A 30330-2025")</f>
        <v/>
      </c>
      <c r="AA15">
        <f>HYPERLINK("https://klasma.github.io/Logging_0763/tillsyn/A 30330-2025 tillsynsbegäran.docx", "A 30330-2025")</f>
        <v/>
      </c>
      <c r="AB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46221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Svart trolldruva
Underviol</t>
        </is>
      </c>
      <c r="V16">
        <f>HYPERLINK("https://klasma.github.io/Logging_0763/artfynd/A 5344-2026 artfynd.xlsx", "A 5344-2026")</f>
        <v/>
      </c>
      <c r="W16">
        <f>HYPERLINK("https://klasma.github.io/Logging_0763/kartor/A 5344-2026 karta.png", "A 5344-2026")</f>
        <v/>
      </c>
      <c r="Y16">
        <f>HYPERLINK("https://klasma.github.io/Logging_0763/klagomål/A 5344-2026 FSC-klagomål.docx", "A 5344-2026")</f>
        <v/>
      </c>
      <c r="Z16">
        <f>HYPERLINK("https://klasma.github.io/Logging_0763/klagomålsmail/A 5344-2026 FSC-klagomål mail.docx", "A 5344-2026")</f>
        <v/>
      </c>
      <c r="AA16">
        <f>HYPERLINK("https://klasma.github.io/Logging_0763/tillsyn/A 5344-2026 tillsynsbegäran.docx", "A 5344-2026")</f>
        <v/>
      </c>
      <c r="AB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46221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Blåmossa</t>
        </is>
      </c>
      <c r="V17">
        <f>HYPERLINK("https://klasma.github.io/Logging_0763/artfynd/A 51691-2022 artfynd.xlsx", "A 51691-2022")</f>
        <v/>
      </c>
      <c r="W17">
        <f>HYPERLINK("https://klasma.github.io/Logging_0763/kartor/A 51691-2022 karta.png", "A 51691-2022")</f>
        <v/>
      </c>
      <c r="X17">
        <f>HYPERLINK("https://klasma.github.io/Logging_0763/knärot/A 51691-2022 karta knärot.png", "A 51691-2022")</f>
        <v/>
      </c>
      <c r="Y17">
        <f>HYPERLINK("https://klasma.github.io/Logging_0763/klagomål/A 51691-2022 FSC-klagomål.docx", "A 51691-2022")</f>
        <v/>
      </c>
      <c r="Z17">
        <f>HYPERLINK("https://klasma.github.io/Logging_0763/klagomålsmail/A 51691-2022 FSC-klagomål mail.docx", "A 51691-2022")</f>
        <v/>
      </c>
      <c r="AA17">
        <f>HYPERLINK("https://klasma.github.io/Logging_0763/tillsyn/A 51691-2022 tillsynsbegäran.docx", "A 51691-2022")</f>
        <v/>
      </c>
      <c r="AB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46221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Mörk dunört
Åkerkål</t>
        </is>
      </c>
      <c r="V18">
        <f>HYPERLINK("https://klasma.github.io/Logging_0763/artfynd/A 28168-2023 artfynd.xlsx", "A 28168-2023")</f>
        <v/>
      </c>
      <c r="W18">
        <f>HYPERLINK("https://klasma.github.io/Logging_0763/kartor/A 28168-2023 karta.png", "A 28168-2023")</f>
        <v/>
      </c>
      <c r="Y18">
        <f>HYPERLINK("https://klasma.github.io/Logging_0763/klagomål/A 28168-2023 FSC-klagomål.docx", "A 28168-2023")</f>
        <v/>
      </c>
      <c r="Z18">
        <f>HYPERLINK("https://klasma.github.io/Logging_0763/klagomålsmail/A 28168-2023 FSC-klagomål mail.docx", "A 28168-2023")</f>
        <v/>
      </c>
      <c r="AA18">
        <f>HYPERLINK("https://klasma.github.io/Logging_0763/tillsyn/A 28168-2023 tillsynsbegäran.docx", "A 28168-2023")</f>
        <v/>
      </c>
      <c r="AB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46221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Slåttergubbe
Fläcknycklar</t>
        </is>
      </c>
      <c r="V19">
        <f>HYPERLINK("https://klasma.github.io/Logging_0763/artfynd/A 26756-2025 artfynd.xlsx", "A 26756-2025")</f>
        <v/>
      </c>
      <c r="W19">
        <f>HYPERLINK("https://klasma.github.io/Logging_0763/kartor/A 26756-2025 karta.png", "A 26756-2025")</f>
        <v/>
      </c>
      <c r="Y19">
        <f>HYPERLINK("https://klasma.github.io/Logging_0763/klagomål/A 26756-2025 FSC-klagomål.docx", "A 26756-2025")</f>
        <v/>
      </c>
      <c r="Z19">
        <f>HYPERLINK("https://klasma.github.io/Logging_0763/klagomålsmail/A 26756-2025 FSC-klagomål mail.docx", "A 26756-2025")</f>
        <v/>
      </c>
      <c r="AA19">
        <f>HYPERLINK("https://klasma.github.io/Logging_0763/tillsyn/A 26756-2025 tillsynsbegäran.docx", "A 26756-2025")</f>
        <v/>
      </c>
      <c r="AB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46221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Kungsfågel</t>
        </is>
      </c>
      <c r="V20">
        <f>HYPERLINK("https://klasma.github.io/Logging_0763/artfynd/A 13497-2024 artfynd.xlsx", "A 13497-2024")</f>
        <v/>
      </c>
      <c r="W20">
        <f>HYPERLINK("https://klasma.github.io/Logging_0763/kartor/A 13497-2024 karta.png", "A 13497-2024")</f>
        <v/>
      </c>
      <c r="X20">
        <f>HYPERLINK("https://klasma.github.io/Logging_0763/knärot/A 13497-2024 karta knärot.png", "A 13497-2024")</f>
        <v/>
      </c>
      <c r="Y20">
        <f>HYPERLINK("https://klasma.github.io/Logging_0763/klagomål/A 13497-2024 FSC-klagomål.docx", "A 13497-2024")</f>
        <v/>
      </c>
      <c r="Z20">
        <f>HYPERLINK("https://klasma.github.io/Logging_0763/klagomålsmail/A 13497-2024 FSC-klagomål mail.docx", "A 13497-2024")</f>
        <v/>
      </c>
      <c r="AA20">
        <f>HYPERLINK("https://klasma.github.io/Logging_0763/tillsyn/A 13497-2024 tillsynsbegäran.docx", "A 13497-2024")</f>
        <v/>
      </c>
      <c r="AB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46221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Y24">
        <f>HYPERLINK("https://klasma.github.io/Logging_0763/klagomål/A 29918-2022 FSC-klagomål.docx", "A 29918-2022")</f>
        <v/>
      </c>
      <c r="Z24">
        <f>HYPERLINK("https://klasma.github.io/Logging_0763/klagomålsmail/A 29918-2022 FSC-klagomål mail.docx", "A 29918-2022")</f>
        <v/>
      </c>
      <c r="AA24">
        <f>HYPERLINK("https://klasma.github.io/Logging_0763/tillsyn/A 29918-2022 tillsynsbegäran.docx", "A 29918-2022")</f>
        <v/>
      </c>
      <c r="AB24">
        <f>HYPERLINK("https://klasma.github.io/Logging_0763/tillsynsmail/A 29918-2022 tillsynsbegäran mail.docx", "A 29918-2022")</f>
        <v/>
      </c>
      <c r="AC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Drillsnäppa</t>
        </is>
      </c>
      <c r="V25">
        <f>HYPERLINK("https://klasma.github.io/Logging_0763/artfynd/A 2132-2022 artfynd.xlsx", "A 2132-2022")</f>
        <v/>
      </c>
      <c r="W25">
        <f>HYPERLINK("https://klasma.github.io/Logging_0763/kartor/A 2132-2022 karta.png", "A 2132-2022")</f>
        <v/>
      </c>
      <c r="Y25">
        <f>HYPERLINK("https://klasma.github.io/Logging_0763/klagomål/A 2132-2022 FSC-klagomål.docx", "A 2132-2022")</f>
        <v/>
      </c>
      <c r="Z25">
        <f>HYPERLINK("https://klasma.github.io/Logging_0763/klagomålsmail/A 2132-2022 FSC-klagomål mail.docx", "A 2132-2022")</f>
        <v/>
      </c>
      <c r="AA25">
        <f>HYPERLINK("https://klasma.github.io/Logging_0763/tillsyn/A 2132-2022 tillsynsbegäran.docx", "A 2132-2022")</f>
        <v/>
      </c>
      <c r="AB25">
        <f>HYPERLINK("https://klasma.github.io/Logging_0763/tillsynsmail/A 2132-2022 tillsynsbegäran mail.docx", "A 2132-2022")</f>
        <v/>
      </c>
      <c r="AC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HYPERLINK("https://klasma.github.io/Logging_0763/artfynd/A 25009-2024 artfynd.xlsx", "A 25009-2024")</f>
        <v/>
      </c>
      <c r="W26">
        <f>HYPERLINK("https://klasma.github.io/Logging_0763/kartor/A 25009-2024 karta.png", "A 25009-2024")</f>
        <v/>
      </c>
      <c r="Y26">
        <f>HYPERLINK("https://klasma.github.io/Logging_0763/klagomål/A 25009-2024 FSC-klagomål.docx", "A 25009-2024")</f>
        <v/>
      </c>
      <c r="Z26">
        <f>HYPERLINK("https://klasma.github.io/Logging_0763/klagomålsmail/A 25009-2024 FSC-klagomål mail.docx", "A 25009-2024")</f>
        <v/>
      </c>
      <c r="AA26">
        <f>HYPERLINK("https://klasma.github.io/Logging_0763/tillsyn/A 25009-2024 tillsynsbegäran.docx", "A 25009-2024")</f>
        <v/>
      </c>
      <c r="AB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46221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Brunag</t>
        </is>
      </c>
      <c r="V27">
        <f>HYPERLINK("https://klasma.github.io/Logging_0763/artfynd/A 11270-2023 artfynd.xlsx", "A 11270-2023")</f>
        <v/>
      </c>
      <c r="W27">
        <f>HYPERLINK("https://klasma.github.io/Logging_0763/kartor/A 11270-2023 karta.png", "A 11270-2023")</f>
        <v/>
      </c>
      <c r="Y27">
        <f>HYPERLINK("https://klasma.github.io/Logging_0763/klagomål/A 11270-2023 FSC-klagomål.docx", "A 11270-2023")</f>
        <v/>
      </c>
      <c r="Z27">
        <f>HYPERLINK("https://klasma.github.io/Logging_0763/klagomålsmail/A 11270-2023 FSC-klagomål mail.docx", "A 11270-2023")</f>
        <v/>
      </c>
      <c r="AA27">
        <f>HYPERLINK("https://klasma.github.io/Logging_0763/tillsyn/A 11270-2023 tillsynsbegäran.docx", "A 11270-2023")</f>
        <v/>
      </c>
      <c r="AB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46221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Kandelabersvamp</t>
        </is>
      </c>
      <c r="V28">
        <f>HYPERLINK("https://klasma.github.io/Logging_0763/artfynd/A 12875-2023 artfynd.xlsx", "A 12875-2023")</f>
        <v/>
      </c>
      <c r="W28">
        <f>HYPERLINK("https://klasma.github.io/Logging_0763/kartor/A 12875-2023 karta.png", "A 12875-2023")</f>
        <v/>
      </c>
      <c r="Y28">
        <f>HYPERLINK("https://klasma.github.io/Logging_0763/klagomål/A 12875-2023 FSC-klagomål.docx", "A 12875-2023")</f>
        <v/>
      </c>
      <c r="Z28">
        <f>HYPERLINK("https://klasma.github.io/Logging_0763/klagomålsmail/A 12875-2023 FSC-klagomål mail.docx", "A 12875-2023")</f>
        <v/>
      </c>
      <c r="AA28">
        <f>HYPERLINK("https://klasma.github.io/Logging_0763/tillsyn/A 12875-2023 tillsynsbegäran.docx", "A 12875-2023")</f>
        <v/>
      </c>
      <c r="AB28">
        <f>HYPERLINK("https://klasma.github.io/Logging_0763/tillsynsmail/A 12875-2023 tillsynsbegäran mail.docx", "A 12875-2023")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46221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Slåttergubbemal</t>
        </is>
      </c>
      <c r="V29">
        <f>HYPERLINK("https://klasma.github.io/Logging_0763/artfynd/A 61657-2024 artfynd.xlsx", "A 61657-2024")</f>
        <v/>
      </c>
      <c r="W29">
        <f>HYPERLINK("https://klasma.github.io/Logging_0763/kartor/A 61657-2024 karta.png", "A 61657-2024")</f>
        <v/>
      </c>
      <c r="Y29">
        <f>HYPERLINK("https://klasma.github.io/Logging_0763/klagomål/A 61657-2024 FSC-klagomål.docx", "A 61657-2024")</f>
        <v/>
      </c>
      <c r="Z29">
        <f>HYPERLINK("https://klasma.github.io/Logging_0763/klagomålsmail/A 61657-2024 FSC-klagomål mail.docx", "A 61657-2024")</f>
        <v/>
      </c>
      <c r="AA29">
        <f>HYPERLINK("https://klasma.github.io/Logging_0763/tillsyn/A 61657-2024 tillsynsbegäran.docx", "A 61657-2024")</f>
        <v/>
      </c>
      <c r="AB29">
        <f>HYPERLINK("https://klasma.github.io/Logging_0763/tillsynsmail/A 61657-2024 tillsynsbegäran mail.docx", "A 61657-2024")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46221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Mindre bastardsvärmare</t>
        </is>
      </c>
      <c r="V30">
        <f>HYPERLINK("https://klasma.github.io/Logging_0763/artfynd/A 25814-2022 artfynd.xlsx", "A 25814-2022")</f>
        <v/>
      </c>
      <c r="W30">
        <f>HYPERLINK("https://klasma.github.io/Logging_0763/kartor/A 25814-2022 karta.png", "A 25814-2022")</f>
        <v/>
      </c>
      <c r="Y30">
        <f>HYPERLINK("https://klasma.github.io/Logging_0763/klagomål/A 25814-2022 FSC-klagomål.docx", "A 25814-2022")</f>
        <v/>
      </c>
      <c r="Z30">
        <f>HYPERLINK("https://klasma.github.io/Logging_0763/klagomålsmail/A 25814-2022 FSC-klagomål mail.docx", "A 25814-2022")</f>
        <v/>
      </c>
      <c r="AA30">
        <f>HYPERLINK("https://klasma.github.io/Logging_0763/tillsyn/A 25814-2022 tillsynsbegäran.docx", "A 25814-2022")</f>
        <v/>
      </c>
      <c r="AB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46221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HYPERLINK("https://klasma.github.io/Logging_0763/artfynd/A 46020-2024 artfynd.xlsx", "A 46020-2024")</f>
        <v/>
      </c>
      <c r="W31">
        <f>HYPERLINK("https://klasma.github.io/Logging_0763/kartor/A 46020-2024 karta.png", "A 46020-2024")</f>
        <v/>
      </c>
      <c r="Y31">
        <f>HYPERLINK("https://klasma.github.io/Logging_0763/klagomål/A 46020-2024 FSC-klagomål.docx", "A 46020-2024")</f>
        <v/>
      </c>
      <c r="Z31">
        <f>HYPERLINK("https://klasma.github.io/Logging_0763/klagomålsmail/A 46020-2024 FSC-klagomål mail.docx", "A 46020-2024")</f>
        <v/>
      </c>
      <c r="AA31">
        <f>HYPERLINK("https://klasma.github.io/Logging_0763/tillsyn/A 46020-2024 tillsynsbegäran.docx", "A 46020-2024")</f>
        <v/>
      </c>
      <c r="AB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46221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HYPERLINK("https://klasma.github.io/Logging_0763/artfynd/A 12137-2026 artfynd.xlsx", "A 12137-2026")</f>
        <v/>
      </c>
      <c r="W32">
        <f>HYPERLINK("https://klasma.github.io/Logging_0763/kartor/A 12137-2026 karta.png", "A 12137-2026")</f>
        <v/>
      </c>
      <c r="Y32">
        <f>HYPERLINK("https://klasma.github.io/Logging_0763/klagomål/A 12137-2026 FSC-klagomål.docx", "A 12137-2026")</f>
        <v/>
      </c>
      <c r="Z32">
        <f>HYPERLINK("https://klasma.github.io/Logging_0763/klagomålsmail/A 12137-2026 FSC-klagomål mail.docx", "A 12137-2026")</f>
        <v/>
      </c>
      <c r="AA32">
        <f>HYPERLINK("https://klasma.github.io/Logging_0763/tillsyn/A 12137-2026 tillsynsbegäran.docx", "A 12137-2026")</f>
        <v/>
      </c>
      <c r="AB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46221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HYPERLINK("https://klasma.github.io/Logging_0763/artfynd/A 28547-2023 artfynd.xlsx", "A 28547-2023")</f>
        <v/>
      </c>
      <c r="W33">
        <f>HYPERLINK("https://klasma.github.io/Logging_0763/kartor/A 28547-2023 karta.png", "A 28547-2023")</f>
        <v/>
      </c>
      <c r="Y33">
        <f>HYPERLINK("https://klasma.github.io/Logging_0763/klagomål/A 28547-2023 FSC-klagomål.docx", "A 28547-2023")</f>
        <v/>
      </c>
      <c r="Z33">
        <f>HYPERLINK("https://klasma.github.io/Logging_0763/klagomålsmail/A 28547-2023 FSC-klagomål mail.docx", "A 28547-2023")</f>
        <v/>
      </c>
      <c r="AA33">
        <f>HYPERLINK("https://klasma.github.io/Logging_0763/tillsyn/A 28547-2023 tillsynsbegäran.docx", "A 28547-2023")</f>
        <v/>
      </c>
      <c r="AB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46221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Kavelhirs</t>
        </is>
      </c>
      <c r="V34">
        <f>HYPERLINK("https://klasma.github.io/Logging_0763/artfynd/A 58629-2021 artfynd.xlsx", "A 58629-2021")</f>
        <v/>
      </c>
      <c r="W34">
        <f>HYPERLINK("https://klasma.github.io/Logging_0763/kartor/A 58629-2021 karta.png", "A 58629-2021")</f>
        <v/>
      </c>
      <c r="Y34">
        <f>HYPERLINK("https://klasma.github.io/Logging_0763/klagomål/A 58629-2021 FSC-klagomål.docx", "A 58629-2021")</f>
        <v/>
      </c>
      <c r="Z34">
        <f>HYPERLINK("https://klasma.github.io/Logging_0763/klagomålsmail/A 58629-2021 FSC-klagomål mail.docx", "A 58629-2021")</f>
        <v/>
      </c>
      <c r="AA34">
        <f>HYPERLINK("https://klasma.github.io/Logging_0763/tillsyn/A 58629-2021 tillsynsbegäran.docx", "A 58629-2021")</f>
        <v/>
      </c>
      <c r="AB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46221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HYPERLINK("https://klasma.github.io/Logging_0763/artfynd/A 38523-2024 artfynd.xlsx", "A 38523-2024")</f>
        <v/>
      </c>
      <c r="W35">
        <f>HYPERLINK("https://klasma.github.io/Logging_0763/kartor/A 38523-2024 karta.png", "A 38523-2024")</f>
        <v/>
      </c>
      <c r="Y35">
        <f>HYPERLINK("https://klasma.github.io/Logging_0763/klagomål/A 38523-2024 FSC-klagomål.docx", "A 38523-2024")</f>
        <v/>
      </c>
      <c r="Z35">
        <f>HYPERLINK("https://klasma.github.io/Logging_0763/klagomålsmail/A 38523-2024 FSC-klagomål mail.docx", "A 38523-2024")</f>
        <v/>
      </c>
      <c r="AA35">
        <f>HYPERLINK("https://klasma.github.io/Logging_0763/tillsyn/A 38523-2024 tillsynsbegäran.docx", "A 38523-2024")</f>
        <v/>
      </c>
      <c r="AB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46221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Hasselmus</t>
        </is>
      </c>
      <c r="V36">
        <f>HYPERLINK("https://klasma.github.io/Logging_0763/artfynd/A 43004-2023 artfynd.xlsx", "A 43004-2023")</f>
        <v/>
      </c>
      <c r="W36">
        <f>HYPERLINK("https://klasma.github.io/Logging_0763/kartor/A 43004-2023 karta.png", "A 43004-2023")</f>
        <v/>
      </c>
      <c r="Y36">
        <f>HYPERLINK("https://klasma.github.io/Logging_0763/klagomål/A 43004-2023 FSC-klagomål.docx", "A 43004-2023")</f>
        <v/>
      </c>
      <c r="Z36">
        <f>HYPERLINK("https://klasma.github.io/Logging_0763/klagomålsmail/A 43004-2023 FSC-klagomål mail.docx", "A 43004-2023")</f>
        <v/>
      </c>
      <c r="AA36">
        <f>HYPERLINK("https://klasma.github.io/Logging_0763/tillsyn/A 43004-2023 tillsynsbegäran.docx", "A 43004-2023")</f>
        <v/>
      </c>
      <c r="AB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46221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HYPERLINK("https://klasma.github.io/Logging_0763/artfynd/A 16141-2024 artfynd.xlsx", "A 16141-2024")</f>
        <v/>
      </c>
      <c r="W37">
        <f>HYPERLINK("https://klasma.github.io/Logging_0763/kartor/A 16141-2024 karta.png", "A 16141-2024")</f>
        <v/>
      </c>
      <c r="Y37">
        <f>HYPERLINK("https://klasma.github.io/Logging_0763/klagomål/A 16141-2024 FSC-klagomål.docx", "A 16141-2024")</f>
        <v/>
      </c>
      <c r="Z37">
        <f>HYPERLINK("https://klasma.github.io/Logging_0763/klagomålsmail/A 16141-2024 FSC-klagomål mail.docx", "A 16141-2024")</f>
        <v/>
      </c>
      <c r="AA37">
        <f>HYPERLINK("https://klasma.github.io/Logging_0763/tillsyn/A 16141-2024 tillsynsbegäran.docx", "A 16141-2024")</f>
        <v/>
      </c>
      <c r="AB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46221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Huggorm</t>
        </is>
      </c>
      <c r="V38">
        <f>HYPERLINK("https://klasma.github.io/Logging_0763/artfynd/A 9825-2023 artfynd.xlsx", "A 9825-2023")</f>
        <v/>
      </c>
      <c r="W38">
        <f>HYPERLINK("https://klasma.github.io/Logging_0763/kartor/A 9825-2023 karta.png", "A 9825-2023")</f>
        <v/>
      </c>
      <c r="Y38">
        <f>HYPERLINK("https://klasma.github.io/Logging_0763/klagomål/A 9825-2023 FSC-klagomål.docx", "A 9825-2023")</f>
        <v/>
      </c>
      <c r="Z38">
        <f>HYPERLINK("https://klasma.github.io/Logging_0763/klagomålsmail/A 9825-2023 FSC-klagomål mail.docx", "A 9825-2023")</f>
        <v/>
      </c>
      <c r="AA38">
        <f>HYPERLINK("https://klasma.github.io/Logging_0763/tillsyn/A 9825-2023 tillsynsbegäran.docx", "A 9825-2023")</f>
        <v/>
      </c>
      <c r="AB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46221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HYPERLINK("https://klasma.github.io/Logging_0763/artfynd/A 6548-2024 artfynd.xlsx", "A 6548-2024")</f>
        <v/>
      </c>
      <c r="W39">
        <f>HYPERLINK("https://klasma.github.io/Logging_0763/kartor/A 6548-2024 karta.png", "A 6548-2024")</f>
        <v/>
      </c>
      <c r="Y39">
        <f>HYPERLINK("https://klasma.github.io/Logging_0763/klagomål/A 6548-2024 FSC-klagomål.docx", "A 6548-2024")</f>
        <v/>
      </c>
      <c r="Z39">
        <f>HYPERLINK("https://klasma.github.io/Logging_0763/klagomålsmail/A 6548-2024 FSC-klagomål mail.docx", "A 6548-2024")</f>
        <v/>
      </c>
      <c r="AA39">
        <f>HYPERLINK("https://klasma.github.io/Logging_0763/tillsyn/A 6548-2024 tillsynsbegäran.docx", "A 6548-2024")</f>
        <v/>
      </c>
      <c r="AB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46221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Safsa</t>
        </is>
      </c>
      <c r="V40">
        <f>HYPERLINK("https://klasma.github.io/Logging_0763/artfynd/A 3863-2024 artfynd.xlsx", "A 3863-2024")</f>
        <v/>
      </c>
      <c r="W40">
        <f>HYPERLINK("https://klasma.github.io/Logging_0763/kartor/A 3863-2024 karta.png", "A 3863-2024")</f>
        <v/>
      </c>
      <c r="Y40">
        <f>HYPERLINK("https://klasma.github.io/Logging_0763/klagomål/A 3863-2024 FSC-klagomål.docx", "A 3863-2024")</f>
        <v/>
      </c>
      <c r="Z40">
        <f>HYPERLINK("https://klasma.github.io/Logging_0763/klagomålsmail/A 3863-2024 FSC-klagomål mail.docx", "A 3863-2024")</f>
        <v/>
      </c>
      <c r="AA40">
        <f>HYPERLINK("https://klasma.github.io/Logging_0763/tillsyn/A 3863-2024 tillsynsbegäran.docx", "A 3863-2024")</f>
        <v/>
      </c>
      <c r="AB40">
        <f>HYPERLINK("https://klasma.github.io/Logging_0763/tillsynsmail/A 3863-2024 tillsynsbegäran mail.docx", "A 3863-2024")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46221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Sommarfibbla</t>
        </is>
      </c>
      <c r="V41">
        <f>HYPERLINK("https://klasma.github.io/Logging_0763/artfynd/A 30997-2026 artfynd.xlsx", "A 30997-2026")</f>
        <v/>
      </c>
      <c r="W41">
        <f>HYPERLINK("https://klasma.github.io/Logging_0763/kartor/A 30997-2026 karta.png", "A 30997-2026")</f>
        <v/>
      </c>
      <c r="Y41">
        <f>HYPERLINK("https://klasma.github.io/Logging_0763/klagomål/A 30997-2026 FSC-klagomål.docx", "A 30997-2026")</f>
        <v/>
      </c>
      <c r="Z41">
        <f>HYPERLINK("https://klasma.github.io/Logging_0763/klagomålsmail/A 30997-2026 FSC-klagomål mail.docx", "A 30997-2026")</f>
        <v/>
      </c>
      <c r="AA41">
        <f>HYPERLINK("https://klasma.github.io/Logging_0763/tillsyn/A 30997-2026 tillsynsbegäran.docx", "A 30997-2026")</f>
        <v/>
      </c>
      <c r="AB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46221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46221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46221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46221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46221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46221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46221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46221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46221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46221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46221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46221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46221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46221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46221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46221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46221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46221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46221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46221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46221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46221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46221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46221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46221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46221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46221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46221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46221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46221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46221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46221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46221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46221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46221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46221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46221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46221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46221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46221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46221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46221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46221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46221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46221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46221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46221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46221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46221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46221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46221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46221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46221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46221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46221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46221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46221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46221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46221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46221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46221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46221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46221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46221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46221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46221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53352-2022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46221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46221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46221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46221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46221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46221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46221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46221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46221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46221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46221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46221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46221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46221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46221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46221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46221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46221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46221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46221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46221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46221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46221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46221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46221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46221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46221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46221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46221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46221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46221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46221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46221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46221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46221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46221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46221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67158-2021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46221</v>
      </c>
      <c r="F149" t="inlineStr">
        <is>
          <t>KRONOBERGS LÄN</t>
        </is>
      </c>
      <c r="G149" t="inlineStr">
        <is>
          <t>TINGSRYD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17689-2022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46221</v>
      </c>
      <c r="F150" t="inlineStr">
        <is>
          <t>KRONOBERGS LÄN</t>
        </is>
      </c>
      <c r="G150" t="inlineStr">
        <is>
          <t>TINGSRYD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46221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46221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46221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46221</v>
      </c>
      <c r="F154" t="inlineStr">
        <is>
          <t>KRONOBERGS LÄN</t>
        </is>
      </c>
      <c r="G154" t="inlineStr">
        <is>
          <t>TINGSRYD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46221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46221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46221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46221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46221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46221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46221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46221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46221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46221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46221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46221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46221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46221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46221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46221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46221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46221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46221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46221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46221</v>
      </c>
      <c r="F175" t="inlineStr">
        <is>
          <t>KRONOBERGS LÄN</t>
        </is>
      </c>
      <c r="G175" t="inlineStr">
        <is>
          <t>TINGSRYD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16954-2024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45411</v>
      </c>
      <c r="E176" s="1" t="n">
        <v>46221</v>
      </c>
      <c r="F176" t="inlineStr">
        <is>
          <t>KRONOBERGS LÄN</t>
        </is>
      </c>
      <c r="G176" t="inlineStr">
        <is>
          <t>TINGSRYD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46221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46221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41302-2023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46221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31066-2022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46221</v>
      </c>
      <c r="F180" t="inlineStr">
        <is>
          <t>KRONOBERGS LÄN</t>
        </is>
      </c>
      <c r="G180" t="inlineStr">
        <is>
          <t>TINGSRYD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40173-2022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46221</v>
      </c>
      <c r="F181" t="inlineStr">
        <is>
          <t>KRONOBERGS LÄN</t>
        </is>
      </c>
      <c r="G181" t="inlineStr">
        <is>
          <t>TINGSRYD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46221</v>
      </c>
      <c r="F182" t="inlineStr">
        <is>
          <t>KRONOBERGS LÄN</t>
        </is>
      </c>
      <c r="G182" t="inlineStr">
        <is>
          <t>TINGSRYD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46221</v>
      </c>
      <c r="F183" t="inlineStr">
        <is>
          <t>KRONOBERGS LÄN</t>
        </is>
      </c>
      <c r="G183" t="inlineStr">
        <is>
          <t>TINGSRYD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27570-2023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46221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46221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26221-2023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45091</v>
      </c>
      <c r="E186" s="1" t="n">
        <v>46221</v>
      </c>
      <c r="F186" t="inlineStr">
        <is>
          <t>KRONOBERGS LÄN</t>
        </is>
      </c>
      <c r="G186" t="inlineStr">
        <is>
          <t>TINGSRYD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19786-2024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46221</v>
      </c>
      <c r="F187" t="inlineStr">
        <is>
          <t>KRONOBERGS LÄN</t>
        </is>
      </c>
      <c r="G187" t="inlineStr">
        <is>
          <t>TINGSRYD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46221</v>
      </c>
      <c r="F188" t="inlineStr">
        <is>
          <t>KRONOBERGS LÄN</t>
        </is>
      </c>
      <c r="G188" t="inlineStr">
        <is>
          <t>TINGSRYD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46221</v>
      </c>
      <c r="F189" t="inlineStr">
        <is>
          <t>KRONOBERGS LÄN</t>
        </is>
      </c>
      <c r="G189" t="inlineStr">
        <is>
          <t>TINGSRYD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56861-2021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46221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46221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46221</v>
      </c>
      <c r="F192" t="inlineStr">
        <is>
          <t>KRONOBERGS LÄN</t>
        </is>
      </c>
      <c r="G192" t="inlineStr">
        <is>
          <t>TINGSRYD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45449</v>
      </c>
      <c r="E193" s="1" t="n">
        <v>46221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46221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46221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20892-2024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46221</v>
      </c>
      <c r="F196" t="inlineStr">
        <is>
          <t>KRONOBERGS LÄN</t>
        </is>
      </c>
      <c r="G196" t="inlineStr">
        <is>
          <t>TINGSRYD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46221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46221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46221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46221</v>
      </c>
      <c r="F200" t="inlineStr">
        <is>
          <t>KRONOBERGS LÄN</t>
        </is>
      </c>
      <c r="G200" t="inlineStr">
        <is>
          <t>TINGSRYD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25992-2024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46221</v>
      </c>
      <c r="F201" t="inlineStr">
        <is>
          <t>KRONOBERGS LÄN</t>
        </is>
      </c>
      <c r="G201" t="inlineStr">
        <is>
          <t>TINGSRYD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46221</v>
      </c>
      <c r="F202" t="inlineStr">
        <is>
          <t>KRONOBERGS LÄN</t>
        </is>
      </c>
      <c r="G202" t="inlineStr">
        <is>
          <t>TINGSRYD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46221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24981-2023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46221</v>
      </c>
      <c r="F204" t="inlineStr">
        <is>
          <t>KRONOBERGS LÄN</t>
        </is>
      </c>
      <c r="G204" t="inlineStr">
        <is>
          <t>TINGSRYD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22153-2024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45445</v>
      </c>
      <c r="E205" s="1" t="n">
        <v>46221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28220-2024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46221</v>
      </c>
      <c r="F206" t="inlineStr">
        <is>
          <t>KRONOBERGS LÄN</t>
        </is>
      </c>
      <c r="G206" t="inlineStr">
        <is>
          <t>TINGSRYD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46221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46221</v>
      </c>
      <c r="F208" t="inlineStr">
        <is>
          <t>KRONOBERGS LÄN</t>
        </is>
      </c>
      <c r="G208" t="inlineStr">
        <is>
          <t>TINGSRYD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58747-2022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46221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58641-2021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46221</v>
      </c>
      <c r="F210" t="inlineStr">
        <is>
          <t>KRONOBERGS LÄN</t>
        </is>
      </c>
      <c r="G210" t="inlineStr">
        <is>
          <t>TINGSRYD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46221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46221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36274-2023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46221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46221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46221</v>
      </c>
      <c r="F215" t="inlineStr">
        <is>
          <t>KRONOBERGS LÄN</t>
        </is>
      </c>
      <c r="G215" t="inlineStr">
        <is>
          <t>TINGSRYD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46221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20563-2024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45436</v>
      </c>
      <c r="E217" s="1" t="n">
        <v>46221</v>
      </c>
      <c r="F217" t="inlineStr">
        <is>
          <t>KRONOBERGS LÄN</t>
        </is>
      </c>
      <c r="G217" t="inlineStr">
        <is>
          <t>TINGSRYD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46221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46221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46221</v>
      </c>
      <c r="F220" t="inlineStr">
        <is>
          <t>KRONOBERGS LÄN</t>
        </is>
      </c>
      <c r="G220" t="inlineStr">
        <is>
          <t>TINGSRYD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57451-2023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46221</v>
      </c>
      <c r="F221" t="inlineStr">
        <is>
          <t>KRONOBERGS LÄN</t>
        </is>
      </c>
      <c r="G221" t="inlineStr">
        <is>
          <t>TINGSRYD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60499-2022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46221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46221</v>
      </c>
      <c r="F223" t="inlineStr">
        <is>
          <t>KRONOBERGS LÄN</t>
        </is>
      </c>
      <c r="G223" t="inlineStr">
        <is>
          <t>TINGSRYD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37359-2024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46221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56860-2021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46221</v>
      </c>
      <c r="F225" t="inlineStr">
        <is>
          <t>KRONOBERGS LÄN</t>
        </is>
      </c>
      <c r="G225" t="inlineStr">
        <is>
          <t>TINGSRYD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45644</v>
      </c>
      <c r="E226" s="1" t="n">
        <v>46221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58864-2022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46221</v>
      </c>
      <c r="F227" t="inlineStr">
        <is>
          <t>KRONOBERGS LÄN</t>
        </is>
      </c>
      <c r="G227" t="inlineStr">
        <is>
          <t>TINGSRYD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46221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46221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46221</v>
      </c>
      <c r="F230" t="inlineStr">
        <is>
          <t>KRONOBERGS LÄN</t>
        </is>
      </c>
      <c r="G230" t="inlineStr">
        <is>
          <t>TINGSRYD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59604-2022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46221</v>
      </c>
      <c r="F231" t="inlineStr">
        <is>
          <t>KRONOBERGS LÄN</t>
        </is>
      </c>
      <c r="G231" t="inlineStr">
        <is>
          <t>TINGSRYD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37152-2024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46221</v>
      </c>
      <c r="F232" t="inlineStr">
        <is>
          <t>KRONOBERGS LÄN</t>
        </is>
      </c>
      <c r="G232" t="inlineStr">
        <is>
          <t>TINGSRYD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44599</v>
      </c>
      <c r="E233" s="1" t="n">
        <v>46221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24774-2022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44728</v>
      </c>
      <c r="E234" s="1" t="n">
        <v>46221</v>
      </c>
      <c r="F234" t="inlineStr">
        <is>
          <t>KRONOBERGS LÄN</t>
        </is>
      </c>
      <c r="G234" t="inlineStr">
        <is>
          <t>TINGSRYD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46221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44492-2021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44435</v>
      </c>
      <c r="E236" s="1" t="n">
        <v>46221</v>
      </c>
      <c r="F236" t="inlineStr">
        <is>
          <t>KRONOBERGS LÄN</t>
        </is>
      </c>
      <c r="G236" t="inlineStr">
        <is>
          <t>TINGSRYD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46221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46221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46221</v>
      </c>
      <c r="F239" t="inlineStr">
        <is>
          <t>KRONOBERGS LÄN</t>
        </is>
      </c>
      <c r="G239" t="inlineStr">
        <is>
          <t>TINGSRYD</t>
        </is>
      </c>
      <c r="H239" t="inlineStr">
        <is>
          <t>Övriga Aktiebolag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26983-2025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46221</v>
      </c>
      <c r="F240" t="inlineStr">
        <is>
          <t>KRONOBERGS LÄN</t>
        </is>
      </c>
      <c r="G240" t="inlineStr">
        <is>
          <t>TINGSRYD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42315-2023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46221</v>
      </c>
      <c r="F241" t="inlineStr">
        <is>
          <t>KRONOBERGS LÄN</t>
        </is>
      </c>
      <c r="G241" t="inlineStr">
        <is>
          <t>TINGSRYD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46221</v>
      </c>
      <c r="F242" t="inlineStr">
        <is>
          <t>KRONOBERGS LÄN</t>
        </is>
      </c>
      <c r="G242" t="inlineStr">
        <is>
          <t>TINGSRYD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46221</v>
      </c>
      <c r="F243" t="inlineStr">
        <is>
          <t>KRONOBERGS LÄN</t>
        </is>
      </c>
      <c r="G243" t="inlineStr">
        <is>
          <t>TINGSRYD</t>
        </is>
      </c>
      <c r="H243" t="inlineStr">
        <is>
          <t>Kyrkan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46221</v>
      </c>
      <c r="F244" t="inlineStr">
        <is>
          <t>KRONOBERGS LÄN</t>
        </is>
      </c>
      <c r="G244" t="inlineStr">
        <is>
          <t>TINGSRYD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7409-2023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46221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55994-2023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46221</v>
      </c>
      <c r="F246" t="inlineStr">
        <is>
          <t>KRONOBERGS LÄN</t>
        </is>
      </c>
      <c r="G246" t="inlineStr">
        <is>
          <t>TINGSRYD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46221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46221</v>
      </c>
      <c r="F248" t="inlineStr">
        <is>
          <t>KRONOBERGS LÄN</t>
        </is>
      </c>
      <c r="G248" t="inlineStr">
        <is>
          <t>TINGSRYD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14808-2023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45014</v>
      </c>
      <c r="E249" s="1" t="n">
        <v>46221</v>
      </c>
      <c r="F249" t="inlineStr">
        <is>
          <t>KRONOBERGS LÄN</t>
        </is>
      </c>
      <c r="G249" t="inlineStr">
        <is>
          <t>TINGSRYD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17026-2022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44676</v>
      </c>
      <c r="E250" s="1" t="n">
        <v>46221</v>
      </c>
      <c r="F250" t="inlineStr">
        <is>
          <t>KRONOBERGS LÄN</t>
        </is>
      </c>
      <c r="G250" t="inlineStr">
        <is>
          <t>TINGSRYD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46221</v>
      </c>
      <c r="F251" t="inlineStr">
        <is>
          <t>KRONOBERGS LÄN</t>
        </is>
      </c>
      <c r="G251" t="inlineStr">
        <is>
          <t>TINGSRYD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46221</v>
      </c>
      <c r="F252" t="inlineStr">
        <is>
          <t>KRONOBERGS LÄN</t>
        </is>
      </c>
      <c r="G252" t="inlineStr">
        <is>
          <t>TINGSRYD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45671</v>
      </c>
      <c r="E253" s="1" t="n">
        <v>46221</v>
      </c>
      <c r="F253" t="inlineStr">
        <is>
          <t>KRONOBERGS LÄN</t>
        </is>
      </c>
      <c r="G253" t="inlineStr">
        <is>
          <t>TINGSRYD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46221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46221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46221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46221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46221</v>
      </c>
      <c r="F258" t="inlineStr">
        <is>
          <t>KRONOBERGS LÄN</t>
        </is>
      </c>
      <c r="G258" t="inlineStr">
        <is>
          <t>TINGSRYD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46221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28732-2025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46221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23821-2025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46221</v>
      </c>
      <c r="F261" t="inlineStr">
        <is>
          <t>KRONOBERGS LÄN</t>
        </is>
      </c>
      <c r="G261" t="inlineStr">
        <is>
          <t>TINGSRYD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16536-2023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46221</v>
      </c>
      <c r="F262" t="inlineStr">
        <is>
          <t>KRONOBERGS LÄN</t>
        </is>
      </c>
      <c r="G262" t="inlineStr">
        <is>
          <t>TINGSRYD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46221</v>
      </c>
      <c r="F263" t="inlineStr">
        <is>
          <t>KRONOBERGS LÄN</t>
        </is>
      </c>
      <c r="G263" t="inlineStr">
        <is>
          <t>TINGSRYD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55973-2023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46221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46221</v>
      </c>
      <c r="F265" t="inlineStr">
        <is>
          <t>KRONOBERGS LÄN</t>
        </is>
      </c>
      <c r="G265" t="inlineStr">
        <is>
          <t>TINGSRYD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46221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46221</v>
      </c>
      <c r="F267" t="inlineStr">
        <is>
          <t>KRONOBERGS LÄN</t>
        </is>
      </c>
      <c r="G267" t="inlineStr">
        <is>
          <t>TINGSRYD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43462-2024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45568</v>
      </c>
      <c r="E268" s="1" t="n">
        <v>46221</v>
      </c>
      <c r="F268" t="inlineStr">
        <is>
          <t>KRONOBERGS LÄN</t>
        </is>
      </c>
      <c r="G268" t="inlineStr">
        <is>
          <t>TINGSRYD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46221</v>
      </c>
      <c r="F269" t="inlineStr">
        <is>
          <t>KRONOBERGS LÄN</t>
        </is>
      </c>
      <c r="G269" t="inlineStr">
        <is>
          <t>TINGSRYD</t>
        </is>
      </c>
      <c r="H269" t="inlineStr">
        <is>
          <t>Övriga Aktiebolag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9647-2022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46221</v>
      </c>
      <c r="F270" t="inlineStr">
        <is>
          <t>KRONOBERGS LÄN</t>
        </is>
      </c>
      <c r="G270" t="inlineStr">
        <is>
          <t>TINGSRYD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37189-2023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46221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37195-2023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46221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46221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46221</v>
      </c>
      <c r="F274" t="inlineStr">
        <is>
          <t>KRONOBERGS LÄN</t>
        </is>
      </c>
      <c r="G274" t="inlineStr">
        <is>
          <t>TINGSRYD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46221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53256-2024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46221</v>
      </c>
      <c r="F276" t="inlineStr">
        <is>
          <t>KRONOBERGS LÄN</t>
        </is>
      </c>
      <c r="G276" t="inlineStr">
        <is>
          <t>TINGSRYD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30230-2025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46221</v>
      </c>
      <c r="F277" t="inlineStr">
        <is>
          <t>KRONOBERGS LÄN</t>
        </is>
      </c>
      <c r="G277" t="inlineStr">
        <is>
          <t>TINGSRYD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20896-2024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45439</v>
      </c>
      <c r="E278" s="1" t="n">
        <v>46221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30840-2025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46221</v>
      </c>
      <c r="F279" t="inlineStr">
        <is>
          <t>KRONOBERGS LÄN</t>
        </is>
      </c>
      <c r="G279" t="inlineStr">
        <is>
          <t>TINGSRYD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7989-2022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44609</v>
      </c>
      <c r="E280" s="1" t="n">
        <v>46221</v>
      </c>
      <c r="F280" t="inlineStr">
        <is>
          <t>KRONOBERGS LÄN</t>
        </is>
      </c>
      <c r="G280" t="inlineStr">
        <is>
          <t>TINGSRYD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46221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46221</v>
      </c>
      <c r="F282" t="inlineStr">
        <is>
          <t>KRONOBERGS LÄN</t>
        </is>
      </c>
      <c r="G282" t="inlineStr">
        <is>
          <t>TINGSRYD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31002-2025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46221</v>
      </c>
      <c r="F283" t="inlineStr">
        <is>
          <t>KRONOBERGS LÄN</t>
        </is>
      </c>
      <c r="G283" t="inlineStr">
        <is>
          <t>TINGSRYD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61658-2024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46221</v>
      </c>
      <c r="F284" t="inlineStr">
        <is>
          <t>KRONOBERGS LÄN</t>
        </is>
      </c>
      <c r="G284" t="inlineStr">
        <is>
          <t>TINGSRYD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46221</v>
      </c>
      <c r="F285" t="inlineStr">
        <is>
          <t>KRONOBERGS LÄN</t>
        </is>
      </c>
      <c r="G285" t="inlineStr">
        <is>
          <t>TINGSRYD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46221</v>
      </c>
      <c r="F286" t="inlineStr">
        <is>
          <t>KRONOBERGS LÄN</t>
        </is>
      </c>
      <c r="G286" t="inlineStr">
        <is>
          <t>TINGSRYD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22641-2023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46221</v>
      </c>
      <c r="F287" t="inlineStr">
        <is>
          <t>KRONOBERGS LÄN</t>
        </is>
      </c>
      <c r="G287" t="inlineStr">
        <is>
          <t>TINGSRYD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42111-2025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46221</v>
      </c>
      <c r="F288" t="inlineStr">
        <is>
          <t>KRONOBERGS LÄN</t>
        </is>
      </c>
      <c r="G288" t="inlineStr">
        <is>
          <t>TINGSRYD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7176-2024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45344</v>
      </c>
      <c r="E289" s="1" t="n">
        <v>46221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46221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22576-2025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45789</v>
      </c>
      <c r="E291" s="1" t="n">
        <v>46221</v>
      </c>
      <c r="F291" t="inlineStr">
        <is>
          <t>KRONOBERGS LÄN</t>
        </is>
      </c>
      <c r="G291" t="inlineStr">
        <is>
          <t>TINGSRYD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46221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42858-2025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46221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54229-2021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46221</v>
      </c>
      <c r="F294" t="inlineStr">
        <is>
          <t>KRONOBERGS LÄN</t>
        </is>
      </c>
      <c r="G294" t="inlineStr">
        <is>
          <t>TINGSRYD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46221</v>
      </c>
      <c r="F295" t="inlineStr">
        <is>
          <t>KRONOBERGS LÄN</t>
        </is>
      </c>
      <c r="G295" t="inlineStr">
        <is>
          <t>TINGSRYD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38476-2023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46221</v>
      </c>
      <c r="F296" t="inlineStr">
        <is>
          <t>KRONOBERGS LÄN</t>
        </is>
      </c>
      <c r="G296" t="inlineStr">
        <is>
          <t>TINGSRYD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46221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32493-2025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46221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20221-2024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45434</v>
      </c>
      <c r="E299" s="1" t="n">
        <v>46221</v>
      </c>
      <c r="F299" t="inlineStr">
        <is>
          <t>KRONOBERGS LÄN</t>
        </is>
      </c>
      <c r="G299" t="inlineStr">
        <is>
          <t>TINGSRYD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46221</v>
      </c>
      <c r="F300" t="inlineStr">
        <is>
          <t>KRONOBERGS LÄN</t>
        </is>
      </c>
      <c r="G300" t="inlineStr">
        <is>
          <t>TINGSRYD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46221</v>
      </c>
      <c r="F301" t="inlineStr">
        <is>
          <t>KRONOBERGS LÄN</t>
        </is>
      </c>
      <c r="G301" t="inlineStr">
        <is>
          <t>TINGSRYD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18432-2022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44685</v>
      </c>
      <c r="E302" s="1" t="n">
        <v>46221</v>
      </c>
      <c r="F302" t="inlineStr">
        <is>
          <t>KRONOBERGS LÄN</t>
        </is>
      </c>
      <c r="G302" t="inlineStr">
        <is>
          <t>TINGSRYD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18435-2022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44685</v>
      </c>
      <c r="E303" s="1" t="n">
        <v>46221</v>
      </c>
      <c r="F303" t="inlineStr">
        <is>
          <t>KRONOBERGS LÄN</t>
        </is>
      </c>
      <c r="G303" t="inlineStr">
        <is>
          <t>TINGSRYD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11352-2023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46221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42994-2023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46221</v>
      </c>
      <c r="F305" t="inlineStr">
        <is>
          <t>KRONOBERGS LÄN</t>
        </is>
      </c>
      <c r="G305" t="inlineStr">
        <is>
          <t>TINGSRYD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33721-2025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46221</v>
      </c>
      <c r="F306" t="inlineStr">
        <is>
          <t>KRONOBERGS LÄN</t>
        </is>
      </c>
      <c r="G306" t="inlineStr">
        <is>
          <t>TINGSRYD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46221</v>
      </c>
      <c r="F307" t="inlineStr">
        <is>
          <t>KRONOBERGS LÄN</t>
        </is>
      </c>
      <c r="G307" t="inlineStr">
        <is>
          <t>TINGSRYD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23632-2023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46221</v>
      </c>
      <c r="F308" t="inlineStr">
        <is>
          <t>KRONOBERGS LÄN</t>
        </is>
      </c>
      <c r="G308" t="inlineStr">
        <is>
          <t>TINGSRYD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49250-2021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46221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46221</v>
      </c>
      <c r="F310" t="inlineStr">
        <is>
          <t>KRONOBERGS LÄN</t>
        </is>
      </c>
      <c r="G310" t="inlineStr">
        <is>
          <t>TINGSRYD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16810-2022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44673</v>
      </c>
      <c r="E311" s="1" t="n">
        <v>46221</v>
      </c>
      <c r="F311" t="inlineStr">
        <is>
          <t>KRONOBERGS LÄN</t>
        </is>
      </c>
      <c r="G311" t="inlineStr">
        <is>
          <t>TINGSRYD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53278-2024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46221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46221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46221</v>
      </c>
      <c r="F314" t="inlineStr">
        <is>
          <t>KRONOBERGS LÄN</t>
        </is>
      </c>
      <c r="G314" t="inlineStr">
        <is>
          <t>TINGSRYD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9791-2022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44620</v>
      </c>
      <c r="E315" s="1" t="n">
        <v>46221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46221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46221</v>
      </c>
      <c r="F317" t="inlineStr">
        <is>
          <t>KRONOBERGS LÄN</t>
        </is>
      </c>
      <c r="G317" t="inlineStr">
        <is>
          <t>TINGSRYD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48687-2021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44452</v>
      </c>
      <c r="E318" s="1" t="n">
        <v>46221</v>
      </c>
      <c r="F318" t="inlineStr">
        <is>
          <t>KRONOBERGS LÄN</t>
        </is>
      </c>
      <c r="G318" t="inlineStr">
        <is>
          <t>TINGSRYD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46221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46221</v>
      </c>
      <c r="F320" t="inlineStr">
        <is>
          <t>KRONOBERGS LÄN</t>
        </is>
      </c>
      <c r="G320" t="inlineStr">
        <is>
          <t>TINGSRYD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38961-2024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46221</v>
      </c>
      <c r="F321" t="inlineStr">
        <is>
          <t>KRONOBERGS LÄN</t>
        </is>
      </c>
      <c r="G321" t="inlineStr">
        <is>
          <t>TINGSRYD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52077-2021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46221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44462</v>
      </c>
      <c r="E323" s="1" t="n">
        <v>46221</v>
      </c>
      <c r="F323" t="inlineStr">
        <is>
          <t>KRONOBERGS LÄN</t>
        </is>
      </c>
      <c r="G323" t="inlineStr">
        <is>
          <t>TINGSRYD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45666-2024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46221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44670-2024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46221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46221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46221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46221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46221</v>
      </c>
      <c r="F329" t="inlineStr">
        <is>
          <t>KRONOBERGS LÄN</t>
        </is>
      </c>
      <c r="G329" t="inlineStr">
        <is>
          <t>TINGSRYD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45307</v>
      </c>
      <c r="E330" s="1" t="n">
        <v>46221</v>
      </c>
      <c r="F330" t="inlineStr">
        <is>
          <t>KRONOBERGS LÄN</t>
        </is>
      </c>
      <c r="G330" t="inlineStr">
        <is>
          <t>TINGSRYD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46221</v>
      </c>
      <c r="F331" t="inlineStr">
        <is>
          <t>KRONOBERGS LÄN</t>
        </is>
      </c>
      <c r="G331" t="inlineStr">
        <is>
          <t>TINGSRYD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46221</v>
      </c>
      <c r="F332" t="inlineStr">
        <is>
          <t>KRONOBERGS LÄN</t>
        </is>
      </c>
      <c r="G332" t="inlineStr">
        <is>
          <t>TINGSRYD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48093-2025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46221</v>
      </c>
      <c r="F333" t="inlineStr">
        <is>
          <t>KRONOBERGS LÄN</t>
        </is>
      </c>
      <c r="G333" t="inlineStr">
        <is>
          <t>TINGSRYD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46221</v>
      </c>
      <c r="F334" t="inlineStr">
        <is>
          <t>KRONOBERGS LÄN</t>
        </is>
      </c>
      <c r="G334" t="inlineStr">
        <is>
          <t>TINGSRYD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25941-2023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46221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46221</v>
      </c>
      <c r="F336" t="inlineStr">
        <is>
          <t>KRONOBERGS LÄN</t>
        </is>
      </c>
      <c r="G336" t="inlineStr">
        <is>
          <t>TINGSRYD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45461</v>
      </c>
      <c r="E337" s="1" t="n">
        <v>46221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72450-2021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44545</v>
      </c>
      <c r="E338" s="1" t="n">
        <v>46221</v>
      </c>
      <c r="F338" t="inlineStr">
        <is>
          <t>KRONOBERGS LÄN</t>
        </is>
      </c>
      <c r="G338" t="inlineStr">
        <is>
          <t>TINGSRYD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32016-2023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46221</v>
      </c>
      <c r="F339" t="inlineStr">
        <is>
          <t>KRONOBERGS LÄN</t>
        </is>
      </c>
      <c r="G339" t="inlineStr">
        <is>
          <t>TINGSRYD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49308-2025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46221</v>
      </c>
      <c r="F340" t="inlineStr">
        <is>
          <t>KRONOBERGS LÄN</t>
        </is>
      </c>
      <c r="G340" t="inlineStr">
        <is>
          <t>TINGSRYD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46221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14247-2023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46221</v>
      </c>
      <c r="F342" t="inlineStr">
        <is>
          <t>KRONOBERGS LÄN</t>
        </is>
      </c>
      <c r="G342" t="inlineStr">
        <is>
          <t>TINGSRYD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44993</v>
      </c>
      <c r="E343" s="1" t="n">
        <v>46221</v>
      </c>
      <c r="F343" t="inlineStr">
        <is>
          <t>KRONOBERGS LÄN</t>
        </is>
      </c>
      <c r="G343" t="inlineStr">
        <is>
          <t>TINGSRYD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46221</v>
      </c>
      <c r="F344" t="inlineStr">
        <is>
          <t>KRONOBERGS LÄN</t>
        </is>
      </c>
      <c r="G344" t="inlineStr">
        <is>
          <t>TINGSRYD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45873</v>
      </c>
      <c r="E345" s="1" t="n">
        <v>46221</v>
      </c>
      <c r="F345" t="inlineStr">
        <is>
          <t>KRONOBERGS LÄN</t>
        </is>
      </c>
      <c r="G345" t="inlineStr">
        <is>
          <t>TINGSRYD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27307-2023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46221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46221</v>
      </c>
      <c r="F347" t="inlineStr">
        <is>
          <t>KRONOBERGS LÄN</t>
        </is>
      </c>
      <c r="G347" t="inlineStr">
        <is>
          <t>TINGSRYD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46221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46221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37002-2025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46221</v>
      </c>
      <c r="F350" t="inlineStr">
        <is>
          <t>KRONOBERGS LÄN</t>
        </is>
      </c>
      <c r="G350" t="inlineStr">
        <is>
          <t>TINGSRYD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12108-2023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46221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36707-2025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46221</v>
      </c>
      <c r="F352" t="inlineStr">
        <is>
          <t>KRONOBERGS LÄN</t>
        </is>
      </c>
      <c r="G352" t="inlineStr">
        <is>
          <t>TINGSRYD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38861-2024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45547</v>
      </c>
      <c r="E353" s="1" t="n">
        <v>46221</v>
      </c>
      <c r="F353" t="inlineStr">
        <is>
          <t>KRONOBERGS LÄN</t>
        </is>
      </c>
      <c r="G353" t="inlineStr">
        <is>
          <t>TINGSRYD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45877</v>
      </c>
      <c r="E354" s="1" t="n">
        <v>46221</v>
      </c>
      <c r="F354" t="inlineStr">
        <is>
          <t>KRONOBERGS LÄN</t>
        </is>
      </c>
      <c r="G354" t="inlineStr">
        <is>
          <t>TINGSRYD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46221</v>
      </c>
      <c r="F355" t="inlineStr">
        <is>
          <t>KRONOBERGS LÄN</t>
        </is>
      </c>
      <c r="G355" t="inlineStr">
        <is>
          <t>TINGSRYD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46221</v>
      </c>
      <c r="F356" t="inlineStr">
        <is>
          <t>KRONOBERGS LÄN</t>
        </is>
      </c>
      <c r="G356" t="inlineStr">
        <is>
          <t>TINGSRYD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46221</v>
      </c>
      <c r="F357" t="inlineStr">
        <is>
          <t>KRONOBERGS LÄN</t>
        </is>
      </c>
      <c r="G357" t="inlineStr">
        <is>
          <t>TINGSRYD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46221</v>
      </c>
      <c r="F358" t="inlineStr">
        <is>
          <t>KRONOBERGS LÄN</t>
        </is>
      </c>
      <c r="G358" t="inlineStr">
        <is>
          <t>TINGSRYD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58781-2021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44489</v>
      </c>
      <c r="E359" s="1" t="n">
        <v>46221</v>
      </c>
      <c r="F359" t="inlineStr">
        <is>
          <t>KRONOBERGS LÄN</t>
        </is>
      </c>
      <c r="G359" t="inlineStr">
        <is>
          <t>TINGSRYD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46221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44748</v>
      </c>
      <c r="E361" s="1" t="n">
        <v>46221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6937-2025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46221</v>
      </c>
      <c r="F362" t="inlineStr">
        <is>
          <t>KRONOBERGS LÄN</t>
        </is>
      </c>
      <c r="G362" t="inlineStr">
        <is>
          <t>TINGSRYD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46221</v>
      </c>
      <c r="F363" t="inlineStr">
        <is>
          <t>KRONOBERGS LÄN</t>
        </is>
      </c>
      <c r="G363" t="inlineStr">
        <is>
          <t>TINGSRYD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26421-2024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46221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45950</v>
      </c>
      <c r="E365" s="1" t="n">
        <v>46221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54636-2024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46221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46221</v>
      </c>
      <c r="F367" t="inlineStr">
        <is>
          <t>KRONOBERGS LÄN</t>
        </is>
      </c>
      <c r="G367" t="inlineStr">
        <is>
          <t>TINGSRYD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46221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8039-2026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46221</v>
      </c>
      <c r="F369" t="inlineStr">
        <is>
          <t>KRONOBERGS LÄN</t>
        </is>
      </c>
      <c r="G369" t="inlineStr">
        <is>
          <t>TINGSRYD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32523-2023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46221</v>
      </c>
      <c r="F370" t="inlineStr">
        <is>
          <t>KRONOBERGS LÄN</t>
        </is>
      </c>
      <c r="G370" t="inlineStr">
        <is>
          <t>TINGSRYD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46221</v>
      </c>
      <c r="F371" t="inlineStr">
        <is>
          <t>KRONOBERGS LÄN</t>
        </is>
      </c>
      <c r="G371" t="inlineStr">
        <is>
          <t>TINGSRYD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8107-2026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46221</v>
      </c>
      <c r="F372" t="inlineStr">
        <is>
          <t>KRONOBERGS LÄN</t>
        </is>
      </c>
      <c r="G372" t="inlineStr">
        <is>
          <t>TINGSRYD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10734-2025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45722</v>
      </c>
      <c r="E373" s="1" t="n">
        <v>46221</v>
      </c>
      <c r="F373" t="inlineStr">
        <is>
          <t>KRONOBERGS LÄN</t>
        </is>
      </c>
      <c r="G373" t="inlineStr">
        <is>
          <t>TINGSRYD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46221</v>
      </c>
      <c r="F374" t="inlineStr">
        <is>
          <t>KRONOBERGS LÄN</t>
        </is>
      </c>
      <c r="G374" t="inlineStr">
        <is>
          <t>TINGSRYD</t>
        </is>
      </c>
      <c r="H374" t="inlineStr">
        <is>
          <t>Kommuner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46221</v>
      </c>
      <c r="F375" t="inlineStr">
        <is>
          <t>KRONOBERGS LÄN</t>
        </is>
      </c>
      <c r="G375" t="inlineStr">
        <is>
          <t>TINGSRYD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60214-2021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44495</v>
      </c>
      <c r="E376" s="1" t="n">
        <v>46221</v>
      </c>
      <c r="F376" t="inlineStr">
        <is>
          <t>KRONOBERGS LÄN</t>
        </is>
      </c>
      <c r="G376" t="inlineStr">
        <is>
          <t>TINGSRYD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63078-2021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44505</v>
      </c>
      <c r="E377" s="1" t="n">
        <v>46221</v>
      </c>
      <c r="F377" t="inlineStr">
        <is>
          <t>KRONOBERGS LÄN</t>
        </is>
      </c>
      <c r="G377" t="inlineStr">
        <is>
          <t>TINGSRYD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46221</v>
      </c>
      <c r="F378" t="inlineStr">
        <is>
          <t>KRONOBERGS LÄN</t>
        </is>
      </c>
      <c r="G378" t="inlineStr">
        <is>
          <t>TINGSRYD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46221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17518-2023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46221</v>
      </c>
      <c r="F380" t="inlineStr">
        <is>
          <t>KRONOBERGS LÄN</t>
        </is>
      </c>
      <c r="G380" t="inlineStr">
        <is>
          <t>TINGSRYD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46221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17333-2023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46221</v>
      </c>
      <c r="F382" t="inlineStr">
        <is>
          <t>KRONOBERGS LÄN</t>
        </is>
      </c>
      <c r="G382" t="inlineStr">
        <is>
          <t>TINGSRYD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68681-2021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44529</v>
      </c>
      <c r="E383" s="1" t="n">
        <v>46221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46221</v>
      </c>
      <c r="F384" t="inlineStr">
        <is>
          <t>KRONOBERGS LÄN</t>
        </is>
      </c>
      <c r="G384" t="inlineStr">
        <is>
          <t>TINGSRYD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46221</v>
      </c>
      <c r="F385" t="inlineStr">
        <is>
          <t>KRONOBERGS LÄN</t>
        </is>
      </c>
      <c r="G385" t="inlineStr">
        <is>
          <t>TINGSRYD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44299-2023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45188</v>
      </c>
      <c r="E386" s="1" t="n">
        <v>46221</v>
      </c>
      <c r="F386" t="inlineStr">
        <is>
          <t>KRONOBERGS LÄN</t>
        </is>
      </c>
      <c r="G386" t="inlineStr">
        <is>
          <t>TINGSRYD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8604-2025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45710</v>
      </c>
      <c r="E387" s="1" t="n">
        <v>46221</v>
      </c>
      <c r="F387" t="inlineStr">
        <is>
          <t>KRONOBERGS LÄN</t>
        </is>
      </c>
      <c r="G387" t="inlineStr">
        <is>
          <t>TINGSRYD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44937</v>
      </c>
      <c r="E388" s="1" t="n">
        <v>46221</v>
      </c>
      <c r="F388" t="inlineStr">
        <is>
          <t>KRONOBERGS LÄN</t>
        </is>
      </c>
      <c r="G388" t="inlineStr">
        <is>
          <t>TINGSRYD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46221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44237-2023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45188</v>
      </c>
      <c r="E390" s="1" t="n">
        <v>46221</v>
      </c>
      <c r="F390" t="inlineStr">
        <is>
          <t>KRONOBERGS LÄN</t>
        </is>
      </c>
      <c r="G390" t="inlineStr">
        <is>
          <t>TINGSRYD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45772</v>
      </c>
      <c r="E391" s="1" t="n">
        <v>46221</v>
      </c>
      <c r="F391" t="inlineStr">
        <is>
          <t>KRONOBERGS LÄN</t>
        </is>
      </c>
      <c r="G391" t="inlineStr">
        <is>
          <t>TINGSRYD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44991</v>
      </c>
      <c r="E392" s="1" t="n">
        <v>46221</v>
      </c>
      <c r="F392" t="inlineStr">
        <is>
          <t>KRONOBERGS LÄN</t>
        </is>
      </c>
      <c r="G392" t="inlineStr">
        <is>
          <t>TINGSRYD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10856-2023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44991</v>
      </c>
      <c r="E393" s="1" t="n">
        <v>46221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57955-2023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45247</v>
      </c>
      <c r="E394" s="1" t="n">
        <v>46221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57962-2023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45247</v>
      </c>
      <c r="E395" s="1" t="n">
        <v>46221</v>
      </c>
      <c r="F395" t="inlineStr">
        <is>
          <t>KRONOBERGS LÄN</t>
        </is>
      </c>
      <c r="G395" t="inlineStr">
        <is>
          <t>TINGSRYD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10599-2023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46221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30918-2023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46221</v>
      </c>
      <c r="F397" t="inlineStr">
        <is>
          <t>KRONOBERGS LÄN</t>
        </is>
      </c>
      <c r="G397" t="inlineStr">
        <is>
          <t>TINGSRYD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30044-2023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46221</v>
      </c>
      <c r="F398" t="inlineStr">
        <is>
          <t>KRONOBERGS LÄN</t>
        </is>
      </c>
      <c r="G398" t="inlineStr">
        <is>
          <t>TINGSRYD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46221</v>
      </c>
      <c r="F399" t="inlineStr">
        <is>
          <t>KRONOBERGS LÄN</t>
        </is>
      </c>
      <c r="G399" t="inlineStr">
        <is>
          <t>TINGSRYD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56933-2023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46221</v>
      </c>
      <c r="F400" t="inlineStr">
        <is>
          <t>KRONOBERGS LÄN</t>
        </is>
      </c>
      <c r="G400" t="inlineStr">
        <is>
          <t>TINGSRYD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21512-2023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46221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11445-2026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46221</v>
      </c>
      <c r="F402" t="inlineStr">
        <is>
          <t>KRONOBERGS LÄN</t>
        </is>
      </c>
      <c r="G402" t="inlineStr">
        <is>
          <t>TINGSRYD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13186-2023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46221</v>
      </c>
      <c r="F403" t="inlineStr">
        <is>
          <t>KRONOBERGS LÄN</t>
        </is>
      </c>
      <c r="G403" t="inlineStr">
        <is>
          <t>TINGSRYD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57020-2025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46221</v>
      </c>
      <c r="F404" t="inlineStr">
        <is>
          <t>KRONOBERGS LÄN</t>
        </is>
      </c>
      <c r="G404" t="inlineStr">
        <is>
          <t>TINGSRYD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46221</v>
      </c>
      <c r="F405" t="inlineStr">
        <is>
          <t>KRONOBERGS LÄN</t>
        </is>
      </c>
      <c r="G405" t="inlineStr">
        <is>
          <t>TINGSRYD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46221</v>
      </c>
      <c r="F406" t="inlineStr">
        <is>
          <t>KRONOBERGS LÄN</t>
        </is>
      </c>
      <c r="G406" t="inlineStr">
        <is>
          <t>TINGSRYD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46221</v>
      </c>
      <c r="F407" t="inlineStr">
        <is>
          <t>KRONOBERGS LÄN</t>
        </is>
      </c>
      <c r="G407" t="inlineStr">
        <is>
          <t>TINGSRYD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11451-2026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46083</v>
      </c>
      <c r="E408" s="1" t="n">
        <v>46221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57258-2025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46221</v>
      </c>
      <c r="F409" t="inlineStr">
        <is>
          <t>KRONOBERGS LÄN</t>
        </is>
      </c>
      <c r="G409" t="inlineStr">
        <is>
          <t>TINGSRYD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57440-2025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46221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44627</v>
      </c>
      <c r="E411" s="1" t="n">
        <v>46221</v>
      </c>
      <c r="F411" t="inlineStr">
        <is>
          <t>KRONOBERGS LÄN</t>
        </is>
      </c>
      <c r="G411" t="inlineStr">
        <is>
          <t>TINGSRYD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45462</v>
      </c>
      <c r="E412" s="1" t="n">
        <v>46221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61447-2023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46221</v>
      </c>
      <c r="F413" t="inlineStr">
        <is>
          <t>KRONOBERGS LÄN</t>
        </is>
      </c>
      <c r="G413" t="inlineStr">
        <is>
          <t>TINGSRYD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46221</v>
      </c>
      <c r="F414" t="inlineStr">
        <is>
          <t>KRONOBERGS LÄN</t>
        </is>
      </c>
      <c r="G414" t="inlineStr">
        <is>
          <t>TINGSRYD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46221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46221</v>
      </c>
      <c r="F416" t="inlineStr">
        <is>
          <t>KRONOBERGS LÄN</t>
        </is>
      </c>
      <c r="G416" t="inlineStr">
        <is>
          <t>TINGSRYD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57959-2025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45982</v>
      </c>
      <c r="E417" s="1" t="n">
        <v>46221</v>
      </c>
      <c r="F417" t="inlineStr">
        <is>
          <t>KRONOBERGS LÄN</t>
        </is>
      </c>
      <c r="G417" t="inlineStr">
        <is>
          <t>TINGSRYD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60744-2023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46221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12122-2026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46221</v>
      </c>
      <c r="F419" t="inlineStr">
        <is>
          <t>KRONOBERGS LÄN</t>
        </is>
      </c>
      <c r="G419" t="inlineStr">
        <is>
          <t>TINGSRYD</t>
        </is>
      </c>
      <c r="H419" t="inlineStr">
        <is>
          <t>Övriga Aktiebolag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11559-2022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44631</v>
      </c>
      <c r="E420" s="1" t="n">
        <v>46221</v>
      </c>
      <c r="F420" t="inlineStr">
        <is>
          <t>KRONOBERGS LÄN</t>
        </is>
      </c>
      <c r="G420" t="inlineStr">
        <is>
          <t>TINGSRYD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12126-2026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46221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46221</v>
      </c>
      <c r="F422" t="inlineStr">
        <is>
          <t>KRONOBERGS LÄN</t>
        </is>
      </c>
      <c r="G422" t="inlineStr">
        <is>
          <t>TINGSRYD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30678-2023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46221</v>
      </c>
      <c r="F423" t="inlineStr">
        <is>
          <t>KRONOBERGS LÄN</t>
        </is>
      </c>
      <c r="G423" t="inlineStr">
        <is>
          <t>TINGSRYD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46221</v>
      </c>
      <c r="F424" t="inlineStr">
        <is>
          <t>KRONOBERGS LÄN</t>
        </is>
      </c>
      <c r="G424" t="inlineStr">
        <is>
          <t>TINGSRYD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13401-2025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46221</v>
      </c>
      <c r="F425" t="inlineStr">
        <is>
          <t>KRONOBERGS LÄN</t>
        </is>
      </c>
      <c r="G425" t="inlineStr">
        <is>
          <t>TINGSRYD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25774-2024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45466</v>
      </c>
      <c r="E426" s="1" t="n">
        <v>46221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54466-2021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44473</v>
      </c>
      <c r="E427" s="1" t="n">
        <v>46221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44790</v>
      </c>
      <c r="E428" s="1" t="n">
        <v>46221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46221</v>
      </c>
      <c r="F429" t="inlineStr">
        <is>
          <t>KRONOBERGS LÄN</t>
        </is>
      </c>
      <c r="G429" t="inlineStr">
        <is>
          <t>TINGSRYD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24390-2023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46221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24395-2023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46221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29588-2023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46221</v>
      </c>
      <c r="F432" t="inlineStr">
        <is>
          <t>KRONOBERGS LÄN</t>
        </is>
      </c>
      <c r="G432" t="inlineStr">
        <is>
          <t>TINGSRYD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46221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60979-2023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46221</v>
      </c>
      <c r="F434" t="inlineStr">
        <is>
          <t>KRONOBERGS LÄN</t>
        </is>
      </c>
      <c r="G434" t="inlineStr">
        <is>
          <t>TINGSRYD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8520-2025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46221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59918-2025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46221</v>
      </c>
      <c r="F436" t="inlineStr">
        <is>
          <t>KRONOBERGS LÄN</t>
        </is>
      </c>
      <c r="G436" t="inlineStr">
        <is>
          <t>TINGSRYD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20955-2024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45439</v>
      </c>
      <c r="E437" s="1" t="n">
        <v>46221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46221</v>
      </c>
      <c r="F438" t="inlineStr">
        <is>
          <t>KRONOBERGS LÄN</t>
        </is>
      </c>
      <c r="G438" t="inlineStr">
        <is>
          <t>TINGSRYD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44492-2021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44435</v>
      </c>
      <c r="E439" s="1" t="n">
        <v>46221</v>
      </c>
      <c r="F439" t="inlineStr">
        <is>
          <t>KRONOBERGS LÄN</t>
        </is>
      </c>
      <c r="G439" t="inlineStr">
        <is>
          <t>TINGSRYD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42414-2021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44427</v>
      </c>
      <c r="E440" s="1" t="n">
        <v>46221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46221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13928-2026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46221</v>
      </c>
      <c r="F442" t="inlineStr">
        <is>
          <t>KRONOBERGS LÄN</t>
        </is>
      </c>
      <c r="G442" t="inlineStr">
        <is>
          <t>TINGSRYD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45229</v>
      </c>
      <c r="E443" s="1" t="n">
        <v>46221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46221</v>
      </c>
      <c r="F444" t="inlineStr">
        <is>
          <t>KRONOBERGS LÄN</t>
        </is>
      </c>
      <c r="G444" t="inlineStr">
        <is>
          <t>TINGSRYD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16342-2024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46221</v>
      </c>
      <c r="F445" t="inlineStr">
        <is>
          <t>KRONOBERGS LÄN</t>
        </is>
      </c>
      <c r="G445" t="inlineStr">
        <is>
          <t>TINGSRYD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23958-2023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46221</v>
      </c>
      <c r="F446" t="inlineStr">
        <is>
          <t>KRONOBERGS LÄN</t>
        </is>
      </c>
      <c r="G446" t="inlineStr">
        <is>
          <t>TINGSRYD</t>
        </is>
      </c>
      <c r="H446" t="inlineStr">
        <is>
          <t>Kyrkan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46221</v>
      </c>
      <c r="F447" t="inlineStr">
        <is>
          <t>KRONOBERGS LÄN</t>
        </is>
      </c>
      <c r="G447" t="inlineStr">
        <is>
          <t>TINGSRYD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30056-2023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46221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46221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46221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28640-2023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46221</v>
      </c>
      <c r="F451" t="inlineStr">
        <is>
          <t>KRONOBERGS LÄN</t>
        </is>
      </c>
      <c r="G451" t="inlineStr">
        <is>
          <t>TINGSRYD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46221</v>
      </c>
      <c r="F452" t="inlineStr">
        <is>
          <t>KRONOBERGS LÄN</t>
        </is>
      </c>
      <c r="G452" t="inlineStr">
        <is>
          <t>TINGSRYD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45183</v>
      </c>
      <c r="E453" s="1" t="n">
        <v>46221</v>
      </c>
      <c r="F453" t="inlineStr">
        <is>
          <t>KRONOBERGS LÄN</t>
        </is>
      </c>
      <c r="G453" t="inlineStr">
        <is>
          <t>TINGSRYD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46221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57430-2021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44483</v>
      </c>
      <c r="E455" s="1" t="n">
        <v>46221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41124-2024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46221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46221</v>
      </c>
      <c r="F457" t="inlineStr">
        <is>
          <t>KRONOBERGS LÄN</t>
        </is>
      </c>
      <c r="G457" t="inlineStr">
        <is>
          <t>TINGSRYD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17010-2023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45034</v>
      </c>
      <c r="E458" s="1" t="n">
        <v>46221</v>
      </c>
      <c r="F458" t="inlineStr">
        <is>
          <t>KRONOBERGS LÄN</t>
        </is>
      </c>
      <c r="G458" t="inlineStr">
        <is>
          <t>TINGSRYD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11219-2025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46221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40487-2023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46221</v>
      </c>
      <c r="F460" t="inlineStr">
        <is>
          <t>KRONOBERGS LÄN</t>
        </is>
      </c>
      <c r="G460" t="inlineStr">
        <is>
          <t>TINGSRYD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14852-2026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46221</v>
      </c>
      <c r="F461" t="inlineStr">
        <is>
          <t>KRONOBERGS LÄN</t>
        </is>
      </c>
      <c r="G461" t="inlineStr">
        <is>
          <t>TINGSRYD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58859-2022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44895</v>
      </c>
      <c r="E462" s="1" t="n">
        <v>46221</v>
      </c>
      <c r="F462" t="inlineStr">
        <is>
          <t>KRONOBERGS LÄN</t>
        </is>
      </c>
      <c r="G462" t="inlineStr">
        <is>
          <t>TINGSRYD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46221</v>
      </c>
      <c r="F463" t="inlineStr">
        <is>
          <t>KRONOBERGS LÄN</t>
        </is>
      </c>
      <c r="G463" t="inlineStr">
        <is>
          <t>TINGSRYD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46221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44960</v>
      </c>
      <c r="E465" s="1" t="n">
        <v>46221</v>
      </c>
      <c r="F465" t="inlineStr">
        <is>
          <t>KRONOBERGS LÄN</t>
        </is>
      </c>
      <c r="G465" t="inlineStr">
        <is>
          <t>TINGSRYD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6894-2023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44967</v>
      </c>
      <c r="E466" s="1" t="n">
        <v>46221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46221</v>
      </c>
      <c r="F467" t="inlineStr">
        <is>
          <t>KRONOBERGS LÄN</t>
        </is>
      </c>
      <c r="G467" t="inlineStr">
        <is>
          <t>TINGSRYD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44448</v>
      </c>
      <c r="E468" s="1" t="n">
        <v>46221</v>
      </c>
      <c r="F468" t="inlineStr">
        <is>
          <t>KRONOBERGS LÄN</t>
        </is>
      </c>
      <c r="G468" t="inlineStr">
        <is>
          <t>TINGSRYD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46221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46221</v>
      </c>
      <c r="F470" t="inlineStr">
        <is>
          <t>KRONOBERGS LÄN</t>
        </is>
      </c>
      <c r="G470" t="inlineStr">
        <is>
          <t>TINGSRYD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46221</v>
      </c>
      <c r="F471" t="inlineStr">
        <is>
          <t>KRONOBERGS LÄN</t>
        </is>
      </c>
      <c r="G471" t="inlineStr">
        <is>
          <t>TINGSRYD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46221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15527-2026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46221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60545-2022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46221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45325</v>
      </c>
      <c r="E475" s="1" t="n">
        <v>46221</v>
      </c>
      <c r="F475" t="inlineStr">
        <is>
          <t>KRONOBERGS LÄN</t>
        </is>
      </c>
      <c r="G475" t="inlineStr">
        <is>
          <t>TINGSRYD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46221</v>
      </c>
      <c r="F476" t="inlineStr">
        <is>
          <t>KRONOBERGS LÄN</t>
        </is>
      </c>
      <c r="G476" t="inlineStr">
        <is>
          <t>TINGSRYD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46221</v>
      </c>
      <c r="F477" t="inlineStr">
        <is>
          <t>KRONOBERGS LÄN</t>
        </is>
      </c>
      <c r="G477" t="inlineStr">
        <is>
          <t>TINGSRYD</t>
        </is>
      </c>
      <c r="H477" t="inlineStr">
        <is>
          <t>Kyrkan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29895-2023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45107</v>
      </c>
      <c r="E478" s="1" t="n">
        <v>46221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46038</v>
      </c>
      <c r="E479" s="1" t="n">
        <v>46221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46221</v>
      </c>
      <c r="F480" t="inlineStr">
        <is>
          <t>KRONOBERGS LÄN</t>
        </is>
      </c>
      <c r="G480" t="inlineStr">
        <is>
          <t>TINGSRYD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44949</v>
      </c>
      <c r="E481" s="1" t="n">
        <v>46221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46221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46221</v>
      </c>
      <c r="F483" t="inlineStr">
        <is>
          <t>KRONOBERGS LÄN</t>
        </is>
      </c>
      <c r="G483" t="inlineStr">
        <is>
          <t>TINGSRYD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13191-2023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45002</v>
      </c>
      <c r="E484" s="1" t="n">
        <v>46221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46221</v>
      </c>
      <c r="F485" t="inlineStr">
        <is>
          <t>KRONOBERGS LÄN</t>
        </is>
      </c>
      <c r="G485" t="inlineStr">
        <is>
          <t>TINGSRYD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45314</v>
      </c>
      <c r="E486" s="1" t="n">
        <v>46221</v>
      </c>
      <c r="F486" t="inlineStr">
        <is>
          <t>KRONOBERGS LÄN</t>
        </is>
      </c>
      <c r="G486" t="inlineStr">
        <is>
          <t>TINGSRYD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46221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46221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13966-2024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46221</v>
      </c>
      <c r="F489" t="inlineStr">
        <is>
          <t>KRONOBERGS LÄN</t>
        </is>
      </c>
      <c r="G489" t="inlineStr">
        <is>
          <t>TINGSRYD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46221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22122-2023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46221</v>
      </c>
      <c r="F491" t="inlineStr">
        <is>
          <t>KRONOBERGS LÄN</t>
        </is>
      </c>
      <c r="G491" t="inlineStr">
        <is>
          <t>TINGSRYD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45275</v>
      </c>
      <c r="E492" s="1" t="n">
        <v>46221</v>
      </c>
      <c r="F492" t="inlineStr">
        <is>
          <t>KRONOBERGS LÄN</t>
        </is>
      </c>
      <c r="G492" t="inlineStr">
        <is>
          <t>TINGSRYD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44838</v>
      </c>
      <c r="E493" s="1" t="n">
        <v>46221</v>
      </c>
      <c r="F493" t="inlineStr">
        <is>
          <t>KRONOBERGS LÄN</t>
        </is>
      </c>
      <c r="G493" t="inlineStr">
        <is>
          <t>TINGSRYD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72447-2021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44545</v>
      </c>
      <c r="E494" s="1" t="n">
        <v>46221</v>
      </c>
      <c r="F494" t="inlineStr">
        <is>
          <t>KRONOBERGS LÄN</t>
        </is>
      </c>
      <c r="G494" t="inlineStr">
        <is>
          <t>TINGSRYD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46221</v>
      </c>
      <c r="F495" t="inlineStr">
        <is>
          <t>KRONOBERGS LÄN</t>
        </is>
      </c>
      <c r="G495" t="inlineStr">
        <is>
          <t>TINGSRYD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67565-2021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44524</v>
      </c>
      <c r="E496" s="1" t="n">
        <v>46221</v>
      </c>
      <c r="F496" t="inlineStr">
        <is>
          <t>KRONOBERGS LÄN</t>
        </is>
      </c>
      <c r="G496" t="inlineStr">
        <is>
          <t>TINGSRYD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54136-2022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44881</v>
      </c>
      <c r="E497" s="1" t="n">
        <v>46221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45424</v>
      </c>
      <c r="E498" s="1" t="n">
        <v>46221</v>
      </c>
      <c r="F498" t="inlineStr">
        <is>
          <t>KRONOBERGS LÄN</t>
        </is>
      </c>
      <c r="G498" t="inlineStr">
        <is>
          <t>TINGSRYD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15391-2023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45019</v>
      </c>
      <c r="E499" s="1" t="n">
        <v>46221</v>
      </c>
      <c r="F499" t="inlineStr">
        <is>
          <t>KRONOBERGS LÄN</t>
        </is>
      </c>
      <c r="G499" t="inlineStr">
        <is>
          <t>TINGSRYD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44930</v>
      </c>
      <c r="E500" s="1" t="n">
        <v>46221</v>
      </c>
      <c r="F500" t="inlineStr">
        <is>
          <t>KRONOBERGS LÄN</t>
        </is>
      </c>
      <c r="G500" t="inlineStr">
        <is>
          <t>TINGSRYD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46221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45097</v>
      </c>
      <c r="E502" s="1" t="n">
        <v>46221</v>
      </c>
      <c r="F502" t="inlineStr">
        <is>
          <t>KRONOBERGS LÄN</t>
        </is>
      </c>
      <c r="G502" t="inlineStr">
        <is>
          <t>TINGSRYD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16761-2026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46221</v>
      </c>
      <c r="F503" t="inlineStr">
        <is>
          <t>KRONOBERGS LÄN</t>
        </is>
      </c>
      <c r="G503" t="inlineStr">
        <is>
          <t>TINGSRYD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46221</v>
      </c>
      <c r="F504" t="inlineStr">
        <is>
          <t>KRONOBERGS LÄN</t>
        </is>
      </c>
      <c r="G504" t="inlineStr">
        <is>
          <t>TINGSRYD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17240-2026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46221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46221</v>
      </c>
      <c r="F506" t="inlineStr">
        <is>
          <t>KRONOBERGS LÄN</t>
        </is>
      </c>
      <c r="G506" t="inlineStr">
        <is>
          <t>TINGSRYD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17544-2026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46221</v>
      </c>
      <c r="F507" t="inlineStr">
        <is>
          <t>KRONOBERGS LÄN</t>
        </is>
      </c>
      <c r="G507" t="inlineStr">
        <is>
          <t>TINGSRYD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17546-2026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46221</v>
      </c>
      <c r="F508" t="inlineStr">
        <is>
          <t>KRONOBERGS LÄN</t>
        </is>
      </c>
      <c r="G508" t="inlineStr">
        <is>
          <t>TINGSRYD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58199-2023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46221</v>
      </c>
      <c r="F509" t="inlineStr">
        <is>
          <t>KRONOBERGS LÄN</t>
        </is>
      </c>
      <c r="G509" t="inlineStr">
        <is>
          <t>TINGSRYD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39150-2023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46221</v>
      </c>
      <c r="F510" t="inlineStr">
        <is>
          <t>KRONOBERGS LÄN</t>
        </is>
      </c>
      <c r="G510" t="inlineStr">
        <is>
          <t>TINGSRYD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38528-2024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46221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74236-2021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44558</v>
      </c>
      <c r="E512" s="1" t="n">
        <v>46221</v>
      </c>
      <c r="F512" t="inlineStr">
        <is>
          <t>KRONOBERGS LÄN</t>
        </is>
      </c>
      <c r="G512" t="inlineStr">
        <is>
          <t>TINGSRYD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71388-2021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46221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17479-2026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46120</v>
      </c>
      <c r="E514" s="1" t="n">
        <v>46221</v>
      </c>
      <c r="F514" t="inlineStr">
        <is>
          <t>KRONOBERGS LÄN</t>
        </is>
      </c>
      <c r="G514" t="inlineStr">
        <is>
          <t>TINGSRYD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17483-2026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46120</v>
      </c>
      <c r="E515" s="1" t="n">
        <v>46221</v>
      </c>
      <c r="F515" t="inlineStr">
        <is>
          <t>KRONOBERGS LÄN</t>
        </is>
      </c>
      <c r="G515" t="inlineStr">
        <is>
          <t>TINGSRYD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46221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6837-2024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46221</v>
      </c>
      <c r="F517" t="inlineStr">
        <is>
          <t>KRONOBERGS LÄN</t>
        </is>
      </c>
      <c r="G517" t="inlineStr">
        <is>
          <t>TINGSRYD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44575</v>
      </c>
      <c r="E518" s="1" t="n">
        <v>46221</v>
      </c>
      <c r="F518" t="inlineStr">
        <is>
          <t>KRONOBERGS LÄN</t>
        </is>
      </c>
      <c r="G518" t="inlineStr">
        <is>
          <t>TINGSRYD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9838-2022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46221</v>
      </c>
      <c r="F519" t="inlineStr">
        <is>
          <t>KRONOBERGS LÄN</t>
        </is>
      </c>
      <c r="G519" t="inlineStr">
        <is>
          <t>TINGSRYD</t>
        </is>
      </c>
      <c r="H519" t="inlineStr">
        <is>
          <t>Kommuner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38246-2023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46221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63448-2023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45274</v>
      </c>
      <c r="E521" s="1" t="n">
        <v>46221</v>
      </c>
      <c r="F521" t="inlineStr">
        <is>
          <t>KRONOBERGS LÄN</t>
        </is>
      </c>
      <c r="G521" t="inlineStr">
        <is>
          <t>TINGSRYD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15252-2026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46105</v>
      </c>
      <c r="E522" s="1" t="n">
        <v>46221</v>
      </c>
      <c r="F522" t="inlineStr">
        <is>
          <t>KRONOBERGS LÄN</t>
        </is>
      </c>
      <c r="G522" t="inlineStr">
        <is>
          <t>TINGSRYD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19052-2026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46132</v>
      </c>
      <c r="E523" s="1" t="n">
        <v>46221</v>
      </c>
      <c r="F523" t="inlineStr">
        <is>
          <t>KRONOBERGS LÄN</t>
        </is>
      </c>
      <c r="G523" t="inlineStr">
        <is>
          <t>TINGSRYD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19353-2026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46221</v>
      </c>
      <c r="F524" t="inlineStr">
        <is>
          <t>KRONOBERGS LÄN</t>
        </is>
      </c>
      <c r="G524" t="inlineStr">
        <is>
          <t>TINGSRYD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37130-2023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45155</v>
      </c>
      <c r="E525" s="1" t="n">
        <v>46221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37184-2023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46221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58566-2024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46221</v>
      </c>
      <c r="F527" t="inlineStr">
        <is>
          <t>KRONOBERGS LÄN</t>
        </is>
      </c>
      <c r="G527" t="inlineStr">
        <is>
          <t>TINGSRYD</t>
        </is>
      </c>
      <c r="H527" t="inlineStr">
        <is>
          <t>Övriga Aktiebolag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19612-2026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46221</v>
      </c>
      <c r="F528" t="inlineStr">
        <is>
          <t>KRONOBERGS LÄN</t>
        </is>
      </c>
      <c r="G528" t="inlineStr">
        <is>
          <t>TINGSRYD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37424-2024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45540</v>
      </c>
      <c r="E529" s="1" t="n">
        <v>46221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19341-2026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46221</v>
      </c>
      <c r="F530" t="inlineStr">
        <is>
          <t>KRONOBERGS LÄN</t>
        </is>
      </c>
      <c r="G530" t="inlineStr">
        <is>
          <t>TINGSRYD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45631</v>
      </c>
      <c r="E531" s="1" t="n">
        <v>46221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21508-2025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46221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40865-2025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45897</v>
      </c>
      <c r="E533" s="1" t="n">
        <v>46221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59584-2025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45992</v>
      </c>
      <c r="E534" s="1" t="n">
        <v>46221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45553</v>
      </c>
      <c r="E535" s="1" t="n">
        <v>46221</v>
      </c>
      <c r="F535" t="inlineStr">
        <is>
          <t>KRONOBERGS LÄN</t>
        </is>
      </c>
      <c r="G535" t="inlineStr">
        <is>
          <t>TINGSRYD</t>
        </is>
      </c>
      <c r="H535" t="inlineStr">
        <is>
          <t>Sveaskog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25739-2025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45803</v>
      </c>
      <c r="E536" s="1" t="n">
        <v>46221</v>
      </c>
      <c r="F536" t="inlineStr">
        <is>
          <t>KRONOBERGS LÄN</t>
        </is>
      </c>
      <c r="G536" t="inlineStr">
        <is>
          <t>TINGSRYD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34761-2022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44795</v>
      </c>
      <c r="E537" s="1" t="n">
        <v>46221</v>
      </c>
      <c r="F537" t="inlineStr">
        <is>
          <t>KRONOBERGS LÄN</t>
        </is>
      </c>
      <c r="G537" t="inlineStr">
        <is>
          <t>TINGSRYD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40856-2025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45897</v>
      </c>
      <c r="E538" s="1" t="n">
        <v>46221</v>
      </c>
      <c r="F538" t="inlineStr">
        <is>
          <t>KRONOBERGS LÄN</t>
        </is>
      </c>
      <c r="G538" t="inlineStr">
        <is>
          <t>TINGSRYD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46072-2025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46221</v>
      </c>
      <c r="F539" t="inlineStr">
        <is>
          <t>KRONOBERGS LÄN</t>
        </is>
      </c>
      <c r="G539" t="inlineStr">
        <is>
          <t>TINGSRYD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49739-2024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46221</v>
      </c>
      <c r="F540" t="inlineStr">
        <is>
          <t>KRONOBERGS LÄN</t>
        </is>
      </c>
      <c r="G540" t="inlineStr">
        <is>
          <t>TINGSRYD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16955-2025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45755</v>
      </c>
      <c r="E541" s="1" t="n">
        <v>46221</v>
      </c>
      <c r="F541" t="inlineStr">
        <is>
          <t>KRONOBERGS LÄN</t>
        </is>
      </c>
      <c r="G541" t="inlineStr">
        <is>
          <t>TINGSRYD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63938-2025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46221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14583-2025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45742</v>
      </c>
      <c r="E543" s="1" t="n">
        <v>46221</v>
      </c>
      <c r="F543" t="inlineStr">
        <is>
          <t>KRONOBERGS LÄN</t>
        </is>
      </c>
      <c r="G543" t="inlineStr">
        <is>
          <t>TINGSRYD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42765-2025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45908</v>
      </c>
      <c r="E544" s="1" t="n">
        <v>46221</v>
      </c>
      <c r="F544" t="inlineStr">
        <is>
          <t>KRONOBERGS LÄN</t>
        </is>
      </c>
      <c r="G544" t="inlineStr">
        <is>
          <t>TINGSRYD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38576-2025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46221</v>
      </c>
      <c r="F545" t="inlineStr">
        <is>
          <t>KRONOBERGS LÄN</t>
        </is>
      </c>
      <c r="G545" t="inlineStr">
        <is>
          <t>TINGSRYD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27421-2024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46221</v>
      </c>
      <c r="F546" t="inlineStr">
        <is>
          <t>KRONOBERGS LÄN</t>
        </is>
      </c>
      <c r="G546" t="inlineStr">
        <is>
          <t>TINGSRYD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48157-2025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46221</v>
      </c>
      <c r="F547" t="inlineStr">
        <is>
          <t>KRONOBERGS LÄN</t>
        </is>
      </c>
      <c r="G547" t="inlineStr">
        <is>
          <t>TINGSRYD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57769-2025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46221</v>
      </c>
      <c r="F548" t="inlineStr">
        <is>
          <t>KRONOBERGS LÄN</t>
        </is>
      </c>
      <c r="G548" t="inlineStr">
        <is>
          <t>TINGSRYD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19935-2026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46221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16854-2023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45033</v>
      </c>
      <c r="E550" s="1" t="n">
        <v>46221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44570</v>
      </c>
      <c r="E551" s="1" t="n">
        <v>46221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73272-2021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44550</v>
      </c>
      <c r="E552" s="1" t="n">
        <v>46221</v>
      </c>
      <c r="F552" t="inlineStr">
        <is>
          <t>KRONOBERGS LÄN</t>
        </is>
      </c>
      <c r="G552" t="inlineStr">
        <is>
          <t>TINGSRYD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29898-2023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46221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3624-2022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44586</v>
      </c>
      <c r="E554" s="1" t="n">
        <v>46221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46221</v>
      </c>
      <c r="F555" t="inlineStr">
        <is>
          <t>KRONOBERGS LÄN</t>
        </is>
      </c>
      <c r="G555" t="inlineStr">
        <is>
          <t>TINGSRYD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45841</v>
      </c>
      <c r="E556" s="1" t="n">
        <v>46221</v>
      </c>
      <c r="F556" t="inlineStr">
        <is>
          <t>KRONOBERGS LÄN</t>
        </is>
      </c>
      <c r="G556" t="inlineStr">
        <is>
          <t>TINGSRYD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61935-2025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46003</v>
      </c>
      <c r="E557" s="1" t="n">
        <v>46221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19784-2026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46221</v>
      </c>
      <c r="F558" t="inlineStr">
        <is>
          <t>KRONOBERGS LÄN</t>
        </is>
      </c>
      <c r="G558" t="inlineStr">
        <is>
          <t>TINGSRYD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8678-2025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45711</v>
      </c>
      <c r="E559" s="1" t="n">
        <v>46221</v>
      </c>
      <c r="F559" t="inlineStr">
        <is>
          <t>KRONOBERGS LÄN</t>
        </is>
      </c>
      <c r="G559" t="inlineStr">
        <is>
          <t>TINGSRYD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63337-2025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46010</v>
      </c>
      <c r="E560" s="1" t="n">
        <v>46221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57989-2024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46221</v>
      </c>
      <c r="F561" t="inlineStr">
        <is>
          <t>KRONOBERGS LÄN</t>
        </is>
      </c>
      <c r="G561" t="inlineStr">
        <is>
          <t>TINGSRYD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41143-2024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45559</v>
      </c>
      <c r="E562" s="1" t="n">
        <v>46221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41144-2024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45559</v>
      </c>
      <c r="E563" s="1" t="n">
        <v>46221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46558-2025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45926</v>
      </c>
      <c r="E564" s="1" t="n">
        <v>46221</v>
      </c>
      <c r="F564" t="inlineStr">
        <is>
          <t>KRONOBERGS LÄN</t>
        </is>
      </c>
      <c r="G564" t="inlineStr">
        <is>
          <t>TINGSRYD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36337-2023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46221</v>
      </c>
      <c r="F565" t="inlineStr">
        <is>
          <t>KRONOBERGS LÄN</t>
        </is>
      </c>
      <c r="G565" t="inlineStr">
        <is>
          <t>TINGSRYD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39485-2025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45890</v>
      </c>
      <c r="E566" s="1" t="n">
        <v>46221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45299</v>
      </c>
      <c r="E567" s="1" t="n">
        <v>46221</v>
      </c>
      <c r="F567" t="inlineStr">
        <is>
          <t>KRONOBERGS LÄN</t>
        </is>
      </c>
      <c r="G567" t="inlineStr">
        <is>
          <t>TINGSRYD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50335-2021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44459</v>
      </c>
      <c r="E568" s="1" t="n">
        <v>46221</v>
      </c>
      <c r="F568" t="inlineStr">
        <is>
          <t>KRONOBERGS LÄN</t>
        </is>
      </c>
      <c r="G568" t="inlineStr">
        <is>
          <t>TINGSRYD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24015-2023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45078</v>
      </c>
      <c r="E569" s="1" t="n">
        <v>46221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41833-2025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45902</v>
      </c>
      <c r="E570" s="1" t="n">
        <v>46221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45727</v>
      </c>
      <c r="E571" s="1" t="n">
        <v>46221</v>
      </c>
      <c r="F571" t="inlineStr">
        <is>
          <t>KRONOBERGS LÄN</t>
        </is>
      </c>
      <c r="G571" t="inlineStr">
        <is>
          <t>TINGSRYD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17931-2022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44683</v>
      </c>
      <c r="E572" s="1" t="n">
        <v>46221</v>
      </c>
      <c r="F572" t="inlineStr">
        <is>
          <t>KRONOBERGS LÄN</t>
        </is>
      </c>
      <c r="G572" t="inlineStr">
        <is>
          <t>TINGSRYD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41998-2025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45903</v>
      </c>
      <c r="E573" s="1" t="n">
        <v>46221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54702-2024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46221</v>
      </c>
      <c r="F574" t="inlineStr">
        <is>
          <t>KRONOBERGS LÄN</t>
        </is>
      </c>
      <c r="G574" t="inlineStr">
        <is>
          <t>TINGSRYD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16478-2024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46221</v>
      </c>
      <c r="F575" t="inlineStr">
        <is>
          <t>KRONOBERGS LÄN</t>
        </is>
      </c>
      <c r="G575" t="inlineStr">
        <is>
          <t>TINGSRYD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42095-2023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45175</v>
      </c>
      <c r="E576" s="1" t="n">
        <v>46221</v>
      </c>
      <c r="F576" t="inlineStr">
        <is>
          <t>KRONOBERGS LÄN</t>
        </is>
      </c>
      <c r="G576" t="inlineStr">
        <is>
          <t>TINGSRYD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18704-2024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45426</v>
      </c>
      <c r="E577" s="1" t="n">
        <v>46221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47550-2023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45203</v>
      </c>
      <c r="E578" s="1" t="n">
        <v>46221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24429-2023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46221</v>
      </c>
      <c r="F579" t="inlineStr">
        <is>
          <t>KRONOBERGS LÄN</t>
        </is>
      </c>
      <c r="G579" t="inlineStr">
        <is>
          <t>TINGSRYD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45063</v>
      </c>
      <c r="E580" s="1" t="n">
        <v>46221</v>
      </c>
      <c r="F580" t="inlineStr">
        <is>
          <t>KRONOBERGS LÄN</t>
        </is>
      </c>
      <c r="G580" t="inlineStr">
        <is>
          <t>TINGSRYD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45040-2023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46221</v>
      </c>
      <c r="F581" t="inlineStr">
        <is>
          <t>KRONOBERGS LÄN</t>
        </is>
      </c>
      <c r="G581" t="inlineStr">
        <is>
          <t>TINGSRYD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29584-2023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46221</v>
      </c>
      <c r="F582" t="inlineStr">
        <is>
          <t>KRONOBERGS LÄN</t>
        </is>
      </c>
      <c r="G582" t="inlineStr">
        <is>
          <t>TINGSRYD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36783-2025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45873</v>
      </c>
      <c r="E583" s="1" t="n">
        <v>46221</v>
      </c>
      <c r="F583" t="inlineStr">
        <is>
          <t>KRONOBERGS LÄN</t>
        </is>
      </c>
      <c r="G583" t="inlineStr">
        <is>
          <t>TINGSRYD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59667-2025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46221</v>
      </c>
      <c r="F584" t="inlineStr">
        <is>
          <t>KRONOBERGS LÄN</t>
        </is>
      </c>
      <c r="G584" t="inlineStr">
        <is>
          <t>TINGSRYD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46221</v>
      </c>
      <c r="F585" t="inlineStr">
        <is>
          <t>KRONOBERGS LÄN</t>
        </is>
      </c>
      <c r="G585" t="inlineStr">
        <is>
          <t>TINGSRYD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46221</v>
      </c>
      <c r="F586" t="inlineStr">
        <is>
          <t>KRONOBERGS LÄN</t>
        </is>
      </c>
      <c r="G586" t="inlineStr">
        <is>
          <t>TINGSRYD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25010-2023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46221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29706-2023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46221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10881-2022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46221</v>
      </c>
      <c r="F589" t="inlineStr">
        <is>
          <t>KRONOBERGS LÄN</t>
        </is>
      </c>
      <c r="G589" t="inlineStr">
        <is>
          <t>TINGSRYD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10613-2022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44624</v>
      </c>
      <c r="E590" s="1" t="n">
        <v>46221</v>
      </c>
      <c r="F590" t="inlineStr">
        <is>
          <t>KRONOBERGS LÄN</t>
        </is>
      </c>
      <c r="G590" t="inlineStr">
        <is>
          <t>TINGSRYD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38853-2024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45547</v>
      </c>
      <c r="E591" s="1" t="n">
        <v>46221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41772-2023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46221</v>
      </c>
      <c r="F592" t="inlineStr">
        <is>
          <t>KRONOBERGS LÄN</t>
        </is>
      </c>
      <c r="G592" t="inlineStr">
        <is>
          <t>TINGSRYD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28965-2025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46221</v>
      </c>
      <c r="F593" t="inlineStr">
        <is>
          <t>KRONOBERGS LÄN</t>
        </is>
      </c>
      <c r="G593" t="inlineStr">
        <is>
          <t>TINGSRYD</t>
        </is>
      </c>
      <c r="I593" t="n">
        <v>8.9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49979-2023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46221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52430-2024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46221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46221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10009-2022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44621</v>
      </c>
      <c r="E597" s="1" t="n">
        <v>46221</v>
      </c>
      <c r="F597" t="inlineStr">
        <is>
          <t>KRONOBERGS LÄN</t>
        </is>
      </c>
      <c r="G597" t="inlineStr">
        <is>
          <t>TINGSRYD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8789-2022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46221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46221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49071-2023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45210</v>
      </c>
      <c r="E600" s="1" t="n">
        <v>46221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49987-2023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45215</v>
      </c>
      <c r="E601" s="1" t="n">
        <v>46221</v>
      </c>
      <c r="F601" t="inlineStr">
        <is>
          <t>KRONOBERGS LÄN</t>
        </is>
      </c>
      <c r="G601" t="inlineStr">
        <is>
          <t>TINGSRYD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35661-2023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46221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45138</v>
      </c>
      <c r="E603" s="1" t="n">
        <v>46221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8919-2025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45713</v>
      </c>
      <c r="E604" s="1" t="n">
        <v>46221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25937-2023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46221</v>
      </c>
      <c r="F605" t="inlineStr">
        <is>
          <t>KRONOBERGS LÄN</t>
        </is>
      </c>
      <c r="G605" t="inlineStr">
        <is>
          <t>TINGSRYD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26250-2026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46221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40183-2022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44820</v>
      </c>
      <c r="E607" s="1" t="n">
        <v>46221</v>
      </c>
      <c r="F607" t="inlineStr">
        <is>
          <t>KRONOBERGS LÄN</t>
        </is>
      </c>
      <c r="G607" t="inlineStr">
        <is>
          <t>TINGSRYD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58571-2024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45635</v>
      </c>
      <c r="E608" s="1" t="n">
        <v>46221</v>
      </c>
      <c r="F608" t="inlineStr">
        <is>
          <t>KRONOBERGS LÄN</t>
        </is>
      </c>
      <c r="G608" t="inlineStr">
        <is>
          <t>TINGSRYD</t>
        </is>
      </c>
      <c r="H608" t="inlineStr">
        <is>
          <t>Övriga Aktiebolag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17130-2025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45755</v>
      </c>
      <c r="E609" s="1" t="n">
        <v>46221</v>
      </c>
      <c r="F609" t="inlineStr">
        <is>
          <t>KRONOBERGS LÄN</t>
        </is>
      </c>
      <c r="G609" t="inlineStr">
        <is>
          <t>TINGSRYD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56890-2023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46221</v>
      </c>
      <c r="F610" t="inlineStr">
        <is>
          <t>KRONOBERGS LÄN</t>
        </is>
      </c>
      <c r="G610" t="inlineStr">
        <is>
          <t>TINGSRYD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44751-2024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46221</v>
      </c>
      <c r="F611" t="inlineStr">
        <is>
          <t>KRONOBERGS LÄN</t>
        </is>
      </c>
      <c r="G611" t="inlineStr">
        <is>
          <t>TINGSRYD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57157-2023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46221</v>
      </c>
      <c r="F612" t="inlineStr">
        <is>
          <t>KRONOBERGS LÄN</t>
        </is>
      </c>
      <c r="G612" t="inlineStr">
        <is>
          <t>TINGSRYD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49352-2023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46221</v>
      </c>
      <c r="F613" t="inlineStr">
        <is>
          <t>KRONOBERGS LÄN</t>
        </is>
      </c>
      <c r="G613" t="inlineStr">
        <is>
          <t>TINGSRYD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63838-2023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46221</v>
      </c>
      <c r="F614" t="inlineStr">
        <is>
          <t>KRONOBERGS LÄN</t>
        </is>
      </c>
      <c r="G614" t="inlineStr">
        <is>
          <t>TINGSRYD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14918-2022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44657</v>
      </c>
      <c r="E615" s="1" t="n">
        <v>46221</v>
      </c>
      <c r="F615" t="inlineStr">
        <is>
          <t>KRONOBERGS LÄN</t>
        </is>
      </c>
      <c r="G615" t="inlineStr">
        <is>
          <t>TINGSRYD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3987-2025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45684</v>
      </c>
      <c r="E616" s="1" t="n">
        <v>46221</v>
      </c>
      <c r="F616" t="inlineStr">
        <is>
          <t>KRONOBERGS LÄN</t>
        </is>
      </c>
      <c r="G616" t="inlineStr">
        <is>
          <t>TINGSRYD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46221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26252-2026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46221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43315-2023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45183</v>
      </c>
      <c r="E619" s="1" t="n">
        <v>46221</v>
      </c>
      <c r="F619" t="inlineStr">
        <is>
          <t>KRONOBERGS LÄN</t>
        </is>
      </c>
      <c r="G619" t="inlineStr">
        <is>
          <t>TINGSRYD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43319-2023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46221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33354-2023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45117</v>
      </c>
      <c r="E621" s="1" t="n">
        <v>46221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28953-2022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44749</v>
      </c>
      <c r="E622" s="1" t="n">
        <v>46221</v>
      </c>
      <c r="F622" t="inlineStr">
        <is>
          <t>KRONOBERGS LÄN</t>
        </is>
      </c>
      <c r="G622" t="inlineStr">
        <is>
          <t>TINGSRYD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24774-2022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44728</v>
      </c>
      <c r="E623" s="1" t="n">
        <v>46221</v>
      </c>
      <c r="F623" t="inlineStr">
        <is>
          <t>KRONOBERGS LÄN</t>
        </is>
      </c>
      <c r="G623" t="inlineStr">
        <is>
          <t>TINGSRYD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24786-2022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44728</v>
      </c>
      <c r="E624" s="1" t="n">
        <v>46221</v>
      </c>
      <c r="F624" t="inlineStr">
        <is>
          <t>KRONOBERGS LÄN</t>
        </is>
      </c>
      <c r="G624" t="inlineStr">
        <is>
          <t>TINGSRYD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40882-2023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45173</v>
      </c>
      <c r="E625" s="1" t="n">
        <v>46221</v>
      </c>
      <c r="F625" t="inlineStr">
        <is>
          <t>KRONOBERGS LÄN</t>
        </is>
      </c>
      <c r="G625" t="inlineStr">
        <is>
          <t>TINGSRYD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14559-2022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44655</v>
      </c>
      <c r="E626" s="1" t="n">
        <v>46221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52945-2023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46221</v>
      </c>
      <c r="F627" t="inlineStr">
        <is>
          <t>KRONOBERGS LÄN</t>
        </is>
      </c>
      <c r="G627" t="inlineStr">
        <is>
          <t>TINGSRYD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44700</v>
      </c>
      <c r="E628" s="1" t="n">
        <v>46221</v>
      </c>
      <c r="F628" t="inlineStr">
        <is>
          <t>KRONOBERGS LÄN</t>
        </is>
      </c>
      <c r="G628" t="inlineStr">
        <is>
          <t>TINGSRYD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42654-2023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45181</v>
      </c>
      <c r="E629" s="1" t="n">
        <v>46221</v>
      </c>
      <c r="F629" t="inlineStr">
        <is>
          <t>KRONOBERGS LÄN</t>
        </is>
      </c>
      <c r="G629" t="inlineStr">
        <is>
          <t>TINGSRYD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21234-2022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44705</v>
      </c>
      <c r="E630" s="1" t="n">
        <v>46221</v>
      </c>
      <c r="F630" t="inlineStr">
        <is>
          <t>KRONOBERGS LÄN</t>
        </is>
      </c>
      <c r="G630" t="inlineStr">
        <is>
          <t>TINGSRYD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42167-2025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45904</v>
      </c>
      <c r="E631" s="1" t="n">
        <v>46221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47393-2022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44852</v>
      </c>
      <c r="E632" s="1" t="n">
        <v>46221</v>
      </c>
      <c r="F632" t="inlineStr">
        <is>
          <t>KRONOBERGS LÄN</t>
        </is>
      </c>
      <c r="G632" t="inlineStr">
        <is>
          <t>TINGSRYD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29516-2022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44753</v>
      </c>
      <c r="E633" s="1" t="n">
        <v>46221</v>
      </c>
      <c r="F633" t="inlineStr">
        <is>
          <t>KRONOBERGS LÄN</t>
        </is>
      </c>
      <c r="G633" t="inlineStr">
        <is>
          <t>TINGSRYD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39099-2023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45164</v>
      </c>
      <c r="E634" s="1" t="n">
        <v>46221</v>
      </c>
      <c r="F634" t="inlineStr">
        <is>
          <t>KRONOBERGS LÄN</t>
        </is>
      </c>
      <c r="G634" t="inlineStr">
        <is>
          <t>TINGSRYD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39103-2023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45164</v>
      </c>
      <c r="E635" s="1" t="n">
        <v>46221</v>
      </c>
      <c r="F635" t="inlineStr">
        <is>
          <t>KRONOBERGS LÄN</t>
        </is>
      </c>
      <c r="G635" t="inlineStr">
        <is>
          <t>TINGSRYD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17694-2025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45758</v>
      </c>
      <c r="E636" s="1" t="n">
        <v>46221</v>
      </c>
      <c r="F636" t="inlineStr">
        <is>
          <t>KRONOBERGS LÄN</t>
        </is>
      </c>
      <c r="G636" t="inlineStr">
        <is>
          <t>TINGSRYD</t>
        </is>
      </c>
      <c r="H636" t="inlineStr">
        <is>
          <t>Övriga Aktiebolag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46470-2023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45197</v>
      </c>
      <c r="E637" s="1" t="n">
        <v>46221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46221</v>
      </c>
      <c r="F638" t="inlineStr">
        <is>
          <t>KRONOBERGS LÄN</t>
        </is>
      </c>
      <c r="G638" t="inlineStr">
        <is>
          <t>TINGSRYD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20662-2026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46221</v>
      </c>
      <c r="F639" t="inlineStr">
        <is>
          <t>KRONOBERGS LÄN</t>
        </is>
      </c>
      <c r="G639" t="inlineStr">
        <is>
          <t>TINGSRYD</t>
        </is>
      </c>
      <c r="H639" t="inlineStr">
        <is>
          <t>Övriga Aktiebolag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20664-2026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46221</v>
      </c>
      <c r="F640" t="inlineStr">
        <is>
          <t>KRONOBERGS LÄN</t>
        </is>
      </c>
      <c r="G640" t="inlineStr">
        <is>
          <t>TINGSRYD</t>
        </is>
      </c>
      <c r="H640" t="inlineStr">
        <is>
          <t>Övriga Aktiebolag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61444-2023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45264</v>
      </c>
      <c r="E641" s="1" t="n">
        <v>46221</v>
      </c>
      <c r="F641" t="inlineStr">
        <is>
          <t>KRONOBERGS LÄN</t>
        </is>
      </c>
      <c r="G641" t="inlineStr">
        <is>
          <t>TINGSRYD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33351-2023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45117</v>
      </c>
      <c r="E642" s="1" t="n">
        <v>46221</v>
      </c>
      <c r="F642" t="inlineStr">
        <is>
          <t>KRONOBERGS LÄN</t>
        </is>
      </c>
      <c r="G642" t="inlineStr">
        <is>
          <t>TINGSRYD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54963-2023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45236</v>
      </c>
      <c r="E643" s="1" t="n">
        <v>46221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45331</v>
      </c>
      <c r="E644" s="1" t="n">
        <v>46221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1342-2024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45303</v>
      </c>
      <c r="E645" s="1" t="n">
        <v>46221</v>
      </c>
      <c r="F645" t="inlineStr">
        <is>
          <t>KRONOBERGS LÄN</t>
        </is>
      </c>
      <c r="G645" t="inlineStr">
        <is>
          <t>TINGSRYD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46221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55454-2023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45238</v>
      </c>
      <c r="E647" s="1" t="n">
        <v>46221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46221</v>
      </c>
      <c r="F648" t="inlineStr">
        <is>
          <t>KRONOBERGS LÄN</t>
        </is>
      </c>
      <c r="G648" t="inlineStr">
        <is>
          <t>TINGSRYD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30012-2023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45109</v>
      </c>
      <c r="E649" s="1" t="n">
        <v>46221</v>
      </c>
      <c r="F649" t="inlineStr">
        <is>
          <t>KRONOBERGS LÄN</t>
        </is>
      </c>
      <c r="G649" t="inlineStr">
        <is>
          <t>TINGSRYD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30016-2023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45109</v>
      </c>
      <c r="E650" s="1" t="n">
        <v>46221</v>
      </c>
      <c r="F650" t="inlineStr">
        <is>
          <t>KRONOBERGS LÄN</t>
        </is>
      </c>
      <c r="G650" t="inlineStr">
        <is>
          <t>TINGSRYD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1209-2024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46221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46221</v>
      </c>
      <c r="F652" t="inlineStr">
        <is>
          <t>KRONOBERGS LÄN</t>
        </is>
      </c>
      <c r="G652" t="inlineStr">
        <is>
          <t>TINGSRYD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20525-2025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46221</v>
      </c>
      <c r="F653" t="inlineStr">
        <is>
          <t>KRONOBERGS LÄN</t>
        </is>
      </c>
      <c r="G653" t="inlineStr">
        <is>
          <t>TINGSRYD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36623-2022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44804</v>
      </c>
      <c r="E654" s="1" t="n">
        <v>46221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27254-2026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46221</v>
      </c>
      <c r="F655" t="inlineStr">
        <is>
          <t>KRONOBERGS LÄN</t>
        </is>
      </c>
      <c r="G655" t="inlineStr">
        <is>
          <t>TINGSRYD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21446-2026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46148</v>
      </c>
      <c r="E656" s="1" t="n">
        <v>46221</v>
      </c>
      <c r="F656" t="inlineStr">
        <is>
          <t>KRONOBERGS LÄN</t>
        </is>
      </c>
      <c r="G656" t="inlineStr">
        <is>
          <t>TINGSRYD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21447-2026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46221</v>
      </c>
      <c r="F657" t="inlineStr">
        <is>
          <t>KRONOBERGS LÄN</t>
        </is>
      </c>
      <c r="G657" t="inlineStr">
        <is>
          <t>TINGSRYD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1586-2024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46221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45314</v>
      </c>
      <c r="E659" s="1" t="n">
        <v>46221</v>
      </c>
      <c r="F659" t="inlineStr">
        <is>
          <t>KRONOBERGS LÄN</t>
        </is>
      </c>
      <c r="G659" t="inlineStr">
        <is>
          <t>TINGSRYD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36626-2022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44804</v>
      </c>
      <c r="E660" s="1" t="n">
        <v>46221</v>
      </c>
      <c r="F660" t="inlineStr">
        <is>
          <t>KRONOBERGS LÄN</t>
        </is>
      </c>
      <c r="G660" t="inlineStr">
        <is>
          <t>TINGSRYD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21263-2026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46221</v>
      </c>
      <c r="F661" t="inlineStr">
        <is>
          <t>KRONOBERGS LÄN</t>
        </is>
      </c>
      <c r="G661" t="inlineStr">
        <is>
          <t>TINGSRYD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41774-2023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46221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27610-2026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46221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10453-2024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45366</v>
      </c>
      <c r="E664" s="1" t="n">
        <v>46221</v>
      </c>
      <c r="F664" t="inlineStr">
        <is>
          <t>KRONOBERGS LÄN</t>
        </is>
      </c>
      <c r="G664" t="inlineStr">
        <is>
          <t>TINGSRYD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29916-2022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44756</v>
      </c>
      <c r="E665" s="1" t="n">
        <v>46221</v>
      </c>
      <c r="F665" t="inlineStr">
        <is>
          <t>KRONOBERGS LÄN</t>
        </is>
      </c>
      <c r="G665" t="inlineStr">
        <is>
          <t>TINGSRYD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58251-2022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46221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58256-2022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46221</v>
      </c>
      <c r="F667" t="inlineStr">
        <is>
          <t>KRONOBERGS LÄN</t>
        </is>
      </c>
      <c r="G667" t="inlineStr">
        <is>
          <t>TINGSRYD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62209-2023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46221</v>
      </c>
      <c r="F668" t="inlineStr">
        <is>
          <t>KRONOBERGS LÄN</t>
        </is>
      </c>
      <c r="G668" t="inlineStr">
        <is>
          <t>TINGSRYD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15132-2024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45399</v>
      </c>
      <c r="E669" s="1" t="n">
        <v>46221</v>
      </c>
      <c r="F669" t="inlineStr">
        <is>
          <t>KRONOBERGS LÄN</t>
        </is>
      </c>
      <c r="G669" t="inlineStr">
        <is>
          <t>TINGSRYD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59169-2022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44904</v>
      </c>
      <c r="E670" s="1" t="n">
        <v>46221</v>
      </c>
      <c r="F670" t="inlineStr">
        <is>
          <t>KRONOBERGS LÄN</t>
        </is>
      </c>
      <c r="G670" t="inlineStr">
        <is>
          <t>TINGSRYD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50715-2022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46221</v>
      </c>
      <c r="F671" t="inlineStr">
        <is>
          <t>KRONOBERGS LÄN</t>
        </is>
      </c>
      <c r="G671" t="inlineStr">
        <is>
          <t>TINGSRYD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3588-2023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46221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42522-2022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44831</v>
      </c>
      <c r="E673" s="1" t="n">
        <v>46221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42526-2022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44831</v>
      </c>
      <c r="E674" s="1" t="n">
        <v>46221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66789-2021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44522</v>
      </c>
      <c r="E675" s="1" t="n">
        <v>46221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24431-2023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46221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21706-2026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46221</v>
      </c>
      <c r="F677" t="inlineStr">
        <is>
          <t>KRONOBERGS LÄN</t>
        </is>
      </c>
      <c r="G677" t="inlineStr">
        <is>
          <t>TINGSRYD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4570-2024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45327</v>
      </c>
      <c r="E678" s="1" t="n">
        <v>46221</v>
      </c>
      <c r="F678" t="inlineStr">
        <is>
          <t>KRONOBERGS LÄN</t>
        </is>
      </c>
      <c r="G678" t="inlineStr">
        <is>
          <t>TINGSRYD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62975-2023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45272</v>
      </c>
      <c r="E679" s="1" t="n">
        <v>46221</v>
      </c>
      <c r="F679" t="inlineStr">
        <is>
          <t>KRONOBERGS LÄN</t>
        </is>
      </c>
      <c r="G679" t="inlineStr">
        <is>
          <t>TINGSRYD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61194-2023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46221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46981-2023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45201</v>
      </c>
      <c r="E681" s="1" t="n">
        <v>46221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28507-2022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44748</v>
      </c>
      <c r="E682" s="1" t="n">
        <v>46221</v>
      </c>
      <c r="F682" t="inlineStr">
        <is>
          <t>KRONOBERGS LÄN</t>
        </is>
      </c>
      <c r="G682" t="inlineStr">
        <is>
          <t>TINGSRYD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19124-2022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44691</v>
      </c>
      <c r="E683" s="1" t="n">
        <v>46221</v>
      </c>
      <c r="F683" t="inlineStr">
        <is>
          <t>KRONOBERGS LÄN</t>
        </is>
      </c>
      <c r="G683" t="inlineStr">
        <is>
          <t>TINGSRYD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1336-2024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46221</v>
      </c>
      <c r="F684" t="inlineStr">
        <is>
          <t>KRONOBERGS LÄN</t>
        </is>
      </c>
      <c r="G684" t="inlineStr">
        <is>
          <t>TINGSRYD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54168-2024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45616</v>
      </c>
      <c r="E685" s="1" t="n">
        <v>46221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46221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19380-2024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45429</v>
      </c>
      <c r="E687" s="1" t="n">
        <v>46221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47149-2023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45201</v>
      </c>
      <c r="E688" s="1" t="n">
        <v>46221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44446</v>
      </c>
      <c r="E689" s="1" t="n">
        <v>46221</v>
      </c>
      <c r="F689" t="inlineStr">
        <is>
          <t>KRONOBERGS LÄN</t>
        </is>
      </c>
      <c r="G689" t="inlineStr">
        <is>
          <t>TINGSRYD</t>
        </is>
      </c>
      <c r="I689" t="n">
        <v>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44674-2024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45574</v>
      </c>
      <c r="E690" s="1" t="n">
        <v>46221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13269-2024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46221</v>
      </c>
      <c r="F691" t="inlineStr">
        <is>
          <t>KRONOBERGS LÄN</t>
        </is>
      </c>
      <c r="G691" t="inlineStr">
        <is>
          <t>TINGSRYD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16992-2024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45412</v>
      </c>
      <c r="E692" s="1" t="n">
        <v>46221</v>
      </c>
      <c r="F692" t="inlineStr">
        <is>
          <t>KRONOBERGS LÄN</t>
        </is>
      </c>
      <c r="G692" t="inlineStr">
        <is>
          <t>TINGSRYD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9826-2023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44984</v>
      </c>
      <c r="E693" s="1" t="n">
        <v>46221</v>
      </c>
      <c r="F693" t="inlineStr">
        <is>
          <t>KRONOBERGS LÄN</t>
        </is>
      </c>
      <c r="G693" t="inlineStr">
        <is>
          <t>TINGSRYD</t>
        </is>
      </c>
      <c r="I693" t="n">
        <v>12.4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46221</v>
      </c>
      <c r="F694" t="inlineStr">
        <is>
          <t>KRONOBERGS LÄN</t>
        </is>
      </c>
      <c r="G694" t="inlineStr">
        <is>
          <t>TINGSRYD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16144-2024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45406</v>
      </c>
      <c r="E695" s="1" t="n">
        <v>46221</v>
      </c>
      <c r="F695" t="inlineStr">
        <is>
          <t>KRONOBERGS LÄN</t>
        </is>
      </c>
      <c r="G695" t="inlineStr">
        <is>
          <t>TINGSRYD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46221</v>
      </c>
      <c r="F696" t="inlineStr">
        <is>
          <t>KRONOBERGS LÄN</t>
        </is>
      </c>
      <c r="G696" t="inlineStr">
        <is>
          <t>TINGSRYD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6930-2022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44602</v>
      </c>
      <c r="E697" s="1" t="n">
        <v>46221</v>
      </c>
      <c r="F697" t="inlineStr">
        <is>
          <t>KRONOBERGS LÄN</t>
        </is>
      </c>
      <c r="G697" t="inlineStr">
        <is>
          <t>TINGSRYD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28602-2026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46197</v>
      </c>
      <c r="E698" s="1" t="n">
        <v>46221</v>
      </c>
      <c r="F698" t="inlineStr">
        <is>
          <t>KRONOBERGS LÄN</t>
        </is>
      </c>
      <c r="G698" t="inlineStr">
        <is>
          <t>TINGSRYD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41746-2021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44425</v>
      </c>
      <c r="E699" s="1" t="n">
        <v>46221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41835-2025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45902</v>
      </c>
      <c r="E700" s="1" t="n">
        <v>46221</v>
      </c>
      <c r="F700" t="inlineStr">
        <is>
          <t>KRONOBERGS LÄN</t>
        </is>
      </c>
      <c r="G700" t="inlineStr">
        <is>
          <t>TINGSRYD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46221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45700</v>
      </c>
      <c r="E702" s="1" t="n">
        <v>46221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6960-2023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46221</v>
      </c>
      <c r="F703" t="inlineStr">
        <is>
          <t>KRONOBERGS LÄN</t>
        </is>
      </c>
      <c r="G703" t="inlineStr">
        <is>
          <t>TINGSRYD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43912-2024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46221</v>
      </c>
      <c r="F704" t="inlineStr">
        <is>
          <t>KRONOBERGS LÄN</t>
        </is>
      </c>
      <c r="G704" t="inlineStr">
        <is>
          <t>TINGSRYD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11080-2022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44628</v>
      </c>
      <c r="E705" s="1" t="n">
        <v>46221</v>
      </c>
      <c r="F705" t="inlineStr">
        <is>
          <t>KRONOBERGS LÄN</t>
        </is>
      </c>
      <c r="G705" t="inlineStr">
        <is>
          <t>TINGSRYD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6880-2023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44967</v>
      </c>
      <c r="E706" s="1" t="n">
        <v>46221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28604-2026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46221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28923-2026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46199</v>
      </c>
      <c r="E708" s="1" t="n">
        <v>46221</v>
      </c>
      <c r="F708" t="inlineStr">
        <is>
          <t>KRONOBERGS LÄN</t>
        </is>
      </c>
      <c r="G708" t="inlineStr">
        <is>
          <t>TINGSRYD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1926-2023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44939</v>
      </c>
      <c r="E709" s="1" t="n">
        <v>46221</v>
      </c>
      <c r="F709" t="inlineStr">
        <is>
          <t>KRONOBERGS LÄN</t>
        </is>
      </c>
      <c r="G709" t="inlineStr">
        <is>
          <t>TINGSRYD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10595-2023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44988</v>
      </c>
      <c r="E710" s="1" t="n">
        <v>46221</v>
      </c>
      <c r="F710" t="inlineStr">
        <is>
          <t>KRONOBERGS LÄN</t>
        </is>
      </c>
      <c r="G710" t="inlineStr">
        <is>
          <t>TINGSRYD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43466-2024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46221</v>
      </c>
      <c r="F711" t="inlineStr">
        <is>
          <t>KRONOBERGS LÄN</t>
        </is>
      </c>
      <c r="G711" t="inlineStr">
        <is>
          <t>TINGSRYD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44234-2023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46221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21254-2023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46221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14595-2024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45395</v>
      </c>
      <c r="E714" s="1" t="n">
        <v>46221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13182-2023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45002</v>
      </c>
      <c r="E715" s="1" t="n">
        <v>46221</v>
      </c>
      <c r="F715" t="inlineStr">
        <is>
          <t>KRONOBERGS LÄN</t>
        </is>
      </c>
      <c r="G715" t="inlineStr">
        <is>
          <t>TINGSRYD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22876-2026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46221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28771-2026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46221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50212-2024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46221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1994-2023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44938</v>
      </c>
      <c r="E719" s="1" t="n">
        <v>46221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60069-2022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46221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20130-2022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44698</v>
      </c>
      <c r="E721" s="1" t="n">
        <v>46221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5292-2024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45331</v>
      </c>
      <c r="E722" s="1" t="n">
        <v>46221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5293-2024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45331</v>
      </c>
      <c r="E723" s="1" t="n">
        <v>46221</v>
      </c>
      <c r="F723" t="inlineStr">
        <is>
          <t>KRONOBERGS LÄN</t>
        </is>
      </c>
      <c r="G723" t="inlineStr">
        <is>
          <t>TINGSRYD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5294-2024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45331</v>
      </c>
      <c r="E724" s="1" t="n">
        <v>46221</v>
      </c>
      <c r="F724" t="inlineStr">
        <is>
          <t>KRONOBERGS LÄN</t>
        </is>
      </c>
      <c r="G724" t="inlineStr">
        <is>
          <t>TINGSRYD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37126-2023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46221</v>
      </c>
      <c r="F725" t="inlineStr">
        <is>
          <t>KRONOBERGS LÄN</t>
        </is>
      </c>
      <c r="G725" t="inlineStr">
        <is>
          <t>TINGSRYD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63824-2021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44509</v>
      </c>
      <c r="E726" s="1" t="n">
        <v>46221</v>
      </c>
      <c r="F726" t="inlineStr">
        <is>
          <t>KRONOBERGS LÄN</t>
        </is>
      </c>
      <c r="G726" t="inlineStr">
        <is>
          <t>TINGSRYD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29592-2026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46221</v>
      </c>
      <c r="F727" t="inlineStr">
        <is>
          <t>KRONOBERGS LÄN</t>
        </is>
      </c>
      <c r="G727" t="inlineStr">
        <is>
          <t>TINGSRYD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45176</v>
      </c>
      <c r="E728" s="1" t="n">
        <v>46221</v>
      </c>
      <c r="F728" t="inlineStr">
        <is>
          <t>KRONOBERGS LÄN</t>
        </is>
      </c>
      <c r="G728" t="inlineStr">
        <is>
          <t>TINGSRYD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27397-2026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46189</v>
      </c>
      <c r="E729" s="1" t="n">
        <v>46221</v>
      </c>
      <c r="F729" t="inlineStr">
        <is>
          <t>KRONOBERGS LÄN</t>
        </is>
      </c>
      <c r="G729" t="inlineStr">
        <is>
          <t>TINGSRYD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9452-2024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45359</v>
      </c>
      <c r="E730" s="1" t="n">
        <v>46221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45036</v>
      </c>
      <c r="E731" s="1" t="n">
        <v>46221</v>
      </c>
      <c r="F731" t="inlineStr">
        <is>
          <t>KRONOBERGS LÄN</t>
        </is>
      </c>
      <c r="G731" t="inlineStr">
        <is>
          <t>TINGSRYD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12663-2024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46221</v>
      </c>
      <c r="F732" t="inlineStr">
        <is>
          <t>KRONOBERGS LÄN</t>
        </is>
      </c>
      <c r="G732" t="inlineStr">
        <is>
          <t>TINGSRYD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22581-2024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45447</v>
      </c>
      <c r="E733" s="1" t="n">
        <v>46221</v>
      </c>
      <c r="F733" t="inlineStr">
        <is>
          <t>KRONOBERGS LÄN</t>
        </is>
      </c>
      <c r="G733" t="inlineStr">
        <is>
          <t>TINGSRYD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39659-2022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44818</v>
      </c>
      <c r="E734" s="1" t="n">
        <v>46221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27389-2026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46221</v>
      </c>
      <c r="F735" t="inlineStr">
        <is>
          <t>KRONOBERGS LÄN</t>
        </is>
      </c>
      <c r="G735" t="inlineStr">
        <is>
          <t>TINGSRYD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44930</v>
      </c>
      <c r="E736" s="1" t="n">
        <v>46221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42752-2021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44428</v>
      </c>
      <c r="E737" s="1" t="n">
        <v>46221</v>
      </c>
      <c r="F737" t="inlineStr">
        <is>
          <t>KRONOBERGS LÄN</t>
        </is>
      </c>
      <c r="G737" t="inlineStr">
        <is>
          <t>TINGSRYD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44679-2024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45574</v>
      </c>
      <c r="E738" s="1" t="n">
        <v>46221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29377-2026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46221</v>
      </c>
      <c r="F739" t="inlineStr">
        <is>
          <t>KRONOBERGS LÄN</t>
        </is>
      </c>
      <c r="G739" t="inlineStr">
        <is>
          <t>TINGSRYD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11587-2022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44631</v>
      </c>
      <c r="E740" s="1" t="n">
        <v>46221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23389-2026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46221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46221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46221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46221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46221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46221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46221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46221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46221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30016-2026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46221</v>
      </c>
      <c r="F750" t="inlineStr">
        <is>
          <t>KRONOBERGS LÄN</t>
        </is>
      </c>
      <c r="G750" t="inlineStr">
        <is>
          <t>TINGSRYD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  <c r="X750">
        <f>HYPERLINK("https://klasma.github.io/Logging_0763/knärot/A 30016-2026 karta knärot.png", "A 30016-2026")</f>
        <v/>
      </c>
      <c r="Y750">
        <f>HYPERLINK("https://klasma.github.io/Logging_0763/klagomål/A 30016-2026 FSC-klagomål.docx", "A 30016-2026")</f>
        <v/>
      </c>
      <c r="Z750">
        <f>HYPERLINK("https://klasma.github.io/Logging_0763/klagomålsmail/A 30016-2026 FSC-klagomål mail.docx", "A 30016-2026")</f>
        <v/>
      </c>
      <c r="AA750">
        <f>HYPERLINK("https://klasma.github.io/Logging_0763/tillsyn/A 30016-2026 tillsynsbegäran.docx", "A 30016-2026")</f>
        <v/>
      </c>
      <c r="AB750">
        <f>HYPERLINK("https://klasma.github.io/Logging_0763/tillsynsmail/A 30016-2026 tillsynsbegäran mail.docx", "A 30016-2026")</f>
        <v/>
      </c>
    </row>
    <row r="751" ht="15" customHeight="1">
      <c r="A751" t="inlineStr">
        <is>
          <t>A 38925-2024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45547</v>
      </c>
      <c r="E751" s="1" t="n">
        <v>46221</v>
      </c>
      <c r="F751" t="inlineStr">
        <is>
          <t>KRONOBERGS LÄN</t>
        </is>
      </c>
      <c r="G751" t="inlineStr">
        <is>
          <t>TINGSRYD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25290-2023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45086</v>
      </c>
      <c r="E752" s="1" t="n">
        <v>46221</v>
      </c>
      <c r="F752" t="inlineStr">
        <is>
          <t>KRONOBERGS LÄN</t>
        </is>
      </c>
      <c r="G752" t="inlineStr">
        <is>
          <t>TINGSRYD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45674</v>
      </c>
      <c r="E753" s="1" t="n">
        <v>46221</v>
      </c>
      <c r="F753" t="inlineStr">
        <is>
          <t>KRONOBERGS LÄN</t>
        </is>
      </c>
      <c r="G753" t="inlineStr">
        <is>
          <t>TINGSRYD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46221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13340-2023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45005</v>
      </c>
      <c r="E755" s="1" t="n">
        <v>46221</v>
      </c>
      <c r="F755" t="inlineStr">
        <is>
          <t>KRONOBERGS LÄN</t>
        </is>
      </c>
      <c r="G755" t="inlineStr">
        <is>
          <t>TINGSRYD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58941-2023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45252</v>
      </c>
      <c r="E756" s="1" t="n">
        <v>46221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6929-2025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45701</v>
      </c>
      <c r="E757" s="1" t="n">
        <v>46221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38759-2024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45547</v>
      </c>
      <c r="E758" s="1" t="n">
        <v>46221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29919-2026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46221</v>
      </c>
      <c r="F759" t="inlineStr">
        <is>
          <t>KRONOBERGS LÄN</t>
        </is>
      </c>
      <c r="G759" t="inlineStr">
        <is>
          <t>TINGSRYD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30276-2026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46221</v>
      </c>
      <c r="F760" t="inlineStr">
        <is>
          <t>KRONOBERGS LÄN</t>
        </is>
      </c>
      <c r="G760" t="inlineStr">
        <is>
          <t>TINGSRYD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30268-2026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46221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23390-2026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46221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29354-2023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45106</v>
      </c>
      <c r="E763" s="1" t="n">
        <v>46221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7089-2023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44965</v>
      </c>
      <c r="E764" s="1" t="n">
        <v>46221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6144-2023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44964</v>
      </c>
      <c r="E765" s="1" t="n">
        <v>46221</v>
      </c>
      <c r="F765" t="inlineStr">
        <is>
          <t>KRONOBERGS LÄN</t>
        </is>
      </c>
      <c r="G765" t="inlineStr">
        <is>
          <t>TINGSRYD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22171-2022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44712</v>
      </c>
      <c r="E766" s="1" t="n">
        <v>46221</v>
      </c>
      <c r="F766" t="inlineStr">
        <is>
          <t>KRONOBERGS LÄN</t>
        </is>
      </c>
      <c r="G766" t="inlineStr">
        <is>
          <t>TINGSRYD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19765-2023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46221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6018-2022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44599</v>
      </c>
      <c r="E768" s="1" t="n">
        <v>46221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16901-2023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46221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23932-2026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46221</v>
      </c>
      <c r="F770" t="inlineStr">
        <is>
          <t>KRONOBERGS LÄN</t>
        </is>
      </c>
      <c r="G770" t="inlineStr">
        <is>
          <t>TINGSRYD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23948-2026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46167</v>
      </c>
      <c r="E771" s="1" t="n">
        <v>46221</v>
      </c>
      <c r="F771" t="inlineStr">
        <is>
          <t>KRONOBERGS LÄN</t>
        </is>
      </c>
      <c r="G771" t="inlineStr">
        <is>
          <t>TINGSRYD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33437-2023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45129</v>
      </c>
      <c r="E772" s="1" t="n">
        <v>46221</v>
      </c>
      <c r="F772" t="inlineStr">
        <is>
          <t>KRONOBERGS LÄN</t>
        </is>
      </c>
      <c r="G772" t="inlineStr">
        <is>
          <t>TINGSRYD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27905-2026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46191</v>
      </c>
      <c r="E773" s="1" t="n">
        <v>46221</v>
      </c>
      <c r="F773" t="inlineStr">
        <is>
          <t>KRONOBERGS LÄN</t>
        </is>
      </c>
      <c r="G773" t="inlineStr">
        <is>
          <t>TINGSRYD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57111-2022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44895</v>
      </c>
      <c r="E774" s="1" t="n">
        <v>46221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24061-2026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46221</v>
      </c>
      <c r="F775" t="inlineStr">
        <is>
          <t>KRONOBERGS LÄN</t>
        </is>
      </c>
      <c r="G775" t="inlineStr">
        <is>
          <t>TINGSRYD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61462-2022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44916</v>
      </c>
      <c r="E776" s="1" t="n">
        <v>46221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7589-2023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44972</v>
      </c>
      <c r="E777" s="1" t="n">
        <v>46221</v>
      </c>
      <c r="F777" t="inlineStr">
        <is>
          <t>KRONOBERGS LÄN</t>
        </is>
      </c>
      <c r="G777" t="inlineStr">
        <is>
          <t>TINGSRYD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46221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50635-2024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46221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24064-2026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46221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46167</v>
      </c>
      <c r="E781" s="1" t="n">
        <v>46221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46221</v>
      </c>
      <c r="F782" t="inlineStr">
        <is>
          <t>KRONOBERGS LÄN</t>
        </is>
      </c>
      <c r="G782" t="inlineStr">
        <is>
          <t>TINGSRYD</t>
        </is>
      </c>
      <c r="H782" t="inlineStr">
        <is>
          <t>Kyrkan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30518-2026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46221</v>
      </c>
      <c r="F783" t="inlineStr">
        <is>
          <t>KRONOBERGS LÄN</t>
        </is>
      </c>
      <c r="G783" t="inlineStr">
        <is>
          <t>TINGSRYD</t>
        </is>
      </c>
      <c r="H783" t="inlineStr">
        <is>
          <t>Kyrkan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23950-2026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46167</v>
      </c>
      <c r="E784" s="1" t="n">
        <v>46221</v>
      </c>
      <c r="F784" t="inlineStr">
        <is>
          <t>KRONOBERGS LÄN</t>
        </is>
      </c>
      <c r="G784" t="inlineStr">
        <is>
          <t>TINGSRYD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30483-2026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46221</v>
      </c>
      <c r="F785" t="inlineStr">
        <is>
          <t>KRONOBERGS LÄN</t>
        </is>
      </c>
      <c r="G785" t="inlineStr">
        <is>
          <t>TINGSRYD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45680</v>
      </c>
      <c r="E786" s="1" t="n">
        <v>46221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34465-2023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45139</v>
      </c>
      <c r="E787" s="1" t="n">
        <v>46221</v>
      </c>
      <c r="F787" t="inlineStr">
        <is>
          <t>KRONOBERGS LÄN</t>
        </is>
      </c>
      <c r="G787" t="inlineStr">
        <is>
          <t>TINGSRYD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33355-2023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45117</v>
      </c>
      <c r="E788" s="1" t="n">
        <v>46221</v>
      </c>
      <c r="F788" t="inlineStr">
        <is>
          <t>KRONOBERGS LÄN</t>
        </is>
      </c>
      <c r="G788" t="inlineStr">
        <is>
          <t>TINGSRYD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33365-2023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46221</v>
      </c>
      <c r="F789" t="inlineStr">
        <is>
          <t>KRONOBERGS LÄN</t>
        </is>
      </c>
      <c r="G789" t="inlineStr">
        <is>
          <t>TINGSRYD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46221</v>
      </c>
      <c r="F790" t="inlineStr">
        <is>
          <t>KRONOBERGS LÄN</t>
        </is>
      </c>
      <c r="G790" t="inlineStr">
        <is>
          <t>TINGSRYD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61558-2024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46221</v>
      </c>
      <c r="F791" t="inlineStr">
        <is>
          <t>KRONOBERGS LÄN</t>
        </is>
      </c>
      <c r="G791" t="inlineStr">
        <is>
          <t>TINGSRYD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55652-2022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44888</v>
      </c>
      <c r="E792" s="1" t="n">
        <v>46221</v>
      </c>
      <c r="F792" t="inlineStr">
        <is>
          <t>KRONOBERGS LÄN</t>
        </is>
      </c>
      <c r="G792" t="inlineStr">
        <is>
          <t>TINGSRYD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12044-2024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45377</v>
      </c>
      <c r="E793" s="1" t="n">
        <v>46221</v>
      </c>
      <c r="F793" t="inlineStr">
        <is>
          <t>KRONOBERGS LÄN</t>
        </is>
      </c>
      <c r="G793" t="inlineStr">
        <is>
          <t>TINGSRYD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31000-2026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46221</v>
      </c>
      <c r="F794" t="inlineStr">
        <is>
          <t>KRONOBERGS LÄN</t>
        </is>
      </c>
      <c r="G794" t="inlineStr">
        <is>
          <t>TINGSRYD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24707-2026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46221</v>
      </c>
      <c r="F795" t="inlineStr">
        <is>
          <t>KRONOBERGS LÄN</t>
        </is>
      </c>
      <c r="G795" t="inlineStr">
        <is>
          <t>TINGSRYD</t>
        </is>
      </c>
      <c r="H795" t="inlineStr">
        <is>
          <t>Övriga Aktiebolag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31017-2026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46221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57379-2024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45629</v>
      </c>
      <c r="E797" s="1" t="n">
        <v>46221</v>
      </c>
      <c r="F797" t="inlineStr">
        <is>
          <t>KRONOBERGS LÄN</t>
        </is>
      </c>
      <c r="G797" t="inlineStr">
        <is>
          <t>TINGSRYD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42304-2021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44426</v>
      </c>
      <c r="E798" s="1" t="n">
        <v>46221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49940-2023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46221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14387-2024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45394</v>
      </c>
      <c r="E800" s="1" t="n">
        <v>46221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17346-2023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45035</v>
      </c>
      <c r="E801" s="1" t="n">
        <v>46221</v>
      </c>
      <c r="F801" t="inlineStr">
        <is>
          <t>KRONOBERGS LÄN</t>
        </is>
      </c>
      <c r="G801" t="inlineStr">
        <is>
          <t>TINGSRYD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15412-2024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45401</v>
      </c>
      <c r="E802" s="1" t="n">
        <v>46221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9822-2023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44984</v>
      </c>
      <c r="E803" s="1" t="n">
        <v>46221</v>
      </c>
      <c r="F803" t="inlineStr">
        <is>
          <t>KRONOBERGS LÄN</t>
        </is>
      </c>
      <c r="G803" t="inlineStr">
        <is>
          <t>TINGSRYD</t>
        </is>
      </c>
      <c r="I803" t="n">
        <v>8.9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45688</v>
      </c>
      <c r="E804" s="1" t="n">
        <v>46221</v>
      </c>
      <c r="F804" t="inlineStr">
        <is>
          <t>KRONOBERGS LÄN</t>
        </is>
      </c>
      <c r="G804" t="inlineStr">
        <is>
          <t>TINGSRYD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64069-2023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45279</v>
      </c>
      <c r="E805" s="1" t="n">
        <v>46221</v>
      </c>
      <c r="F805" t="inlineStr">
        <is>
          <t>KRONOBERGS LÄN</t>
        </is>
      </c>
      <c r="G805" t="inlineStr">
        <is>
          <t>TINGSRYD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45331</v>
      </c>
      <c r="E806" s="1" t="n">
        <v>46221</v>
      </c>
      <c r="F806" t="inlineStr">
        <is>
          <t>KRONOBERGS LÄN</t>
        </is>
      </c>
      <c r="G806" t="inlineStr">
        <is>
          <t>TINGSRYD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46221</v>
      </c>
      <c r="F807" t="inlineStr">
        <is>
          <t>KRONOBERGS LÄN</t>
        </is>
      </c>
      <c r="G807" t="inlineStr">
        <is>
          <t>TINGSRYD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19824-2025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45771</v>
      </c>
      <c r="E808" s="1" t="n">
        <v>46221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46175</v>
      </c>
      <c r="E809" s="1" t="n">
        <v>46221</v>
      </c>
      <c r="F809" t="inlineStr">
        <is>
          <t>KRONOBERGS LÄN</t>
        </is>
      </c>
      <c r="G809" t="inlineStr">
        <is>
          <t>TINGSRYD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25146-2026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46221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55982-2023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46221</v>
      </c>
      <c r="F811" t="inlineStr">
        <is>
          <t>KRONOBERGS LÄN</t>
        </is>
      </c>
      <c r="G811" t="inlineStr">
        <is>
          <t>TINGSRYD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3338-2023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46221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7408-2023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44971</v>
      </c>
      <c r="E813" s="1" t="n">
        <v>46221</v>
      </c>
      <c r="F813" t="inlineStr">
        <is>
          <t>KRONOBERGS LÄN</t>
        </is>
      </c>
      <c r="G813" t="inlineStr">
        <is>
          <t>TINGSRYD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50817-2024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46221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44839-2024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46221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8777-2024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46221</v>
      </c>
      <c r="F816" t="inlineStr">
        <is>
          <t>KRONOBERGS LÄN</t>
        </is>
      </c>
      <c r="G816" t="inlineStr">
        <is>
          <t>TINGSRYD</t>
        </is>
      </c>
      <c r="H816" t="inlineStr">
        <is>
          <t>Övriga Aktiebolag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46221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11600-2025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45727</v>
      </c>
      <c r="E818" s="1" t="n">
        <v>46221</v>
      </c>
      <c r="F818" t="inlineStr">
        <is>
          <t>KRONOBERGS LÄN</t>
        </is>
      </c>
      <c r="G818" t="inlineStr">
        <is>
          <t>TINGSRYD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25329-2026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46176</v>
      </c>
      <c r="E819" s="1" t="n">
        <v>46221</v>
      </c>
      <c r="F819" t="inlineStr">
        <is>
          <t>KRONOBERGS LÄN</t>
        </is>
      </c>
      <c r="G819" t="inlineStr">
        <is>
          <t>TINGSRYD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31343-2026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46221</v>
      </c>
      <c r="F820" t="inlineStr">
        <is>
          <t>KRONOBERGS LÄN</t>
        </is>
      </c>
      <c r="G820" t="inlineStr">
        <is>
          <t>TINGSRYD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1001-2023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46221</v>
      </c>
      <c r="F821" t="inlineStr">
        <is>
          <t>KRONOBERGS LÄN</t>
        </is>
      </c>
      <c r="G821" t="inlineStr">
        <is>
          <t>TINGSRYD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17065-2023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45034</v>
      </c>
      <c r="E822" s="1" t="n">
        <v>46221</v>
      </c>
      <c r="F822" t="inlineStr">
        <is>
          <t>KRONOBERGS LÄN</t>
        </is>
      </c>
      <c r="G822" t="inlineStr">
        <is>
          <t>TINGSRYD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13193-2023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45002</v>
      </c>
      <c r="E823" s="1" t="n">
        <v>46221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32810-2023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45124</v>
      </c>
      <c r="E824" s="1" t="n">
        <v>46221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25256-2026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46221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46221</v>
      </c>
      <c r="F826" t="inlineStr">
        <is>
          <t>KRONOBERGS LÄN</t>
        </is>
      </c>
      <c r="G826" t="inlineStr">
        <is>
          <t>TINGSRYD</t>
        </is>
      </c>
      <c r="H826" t="inlineStr">
        <is>
          <t>Kyrkan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46221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5616-2023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44960</v>
      </c>
      <c r="E828" s="1" t="n">
        <v>46221</v>
      </c>
      <c r="F828" t="inlineStr">
        <is>
          <t>KRONOBERGS LÄN</t>
        </is>
      </c>
      <c r="G828" t="inlineStr">
        <is>
          <t>TINGSRYD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39994-2024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46221</v>
      </c>
      <c r="F829" t="inlineStr">
        <is>
          <t>KRONOBERGS LÄN</t>
        </is>
      </c>
      <c r="G829" t="inlineStr">
        <is>
          <t>TINGSRYD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44634</v>
      </c>
      <c r="E830" s="1" t="n">
        <v>46221</v>
      </c>
      <c r="F830" t="inlineStr">
        <is>
          <t>KRONOBERGS LÄN</t>
        </is>
      </c>
      <c r="G830" t="inlineStr">
        <is>
          <t>TINGSRYD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14396-2024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45394</v>
      </c>
      <c r="E831" s="1" t="n">
        <v>46221</v>
      </c>
      <c r="F831" t="inlineStr">
        <is>
          <t>KRONOBERGS LÄN</t>
        </is>
      </c>
      <c r="G831" t="inlineStr">
        <is>
          <t>TINGSRYD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20858-2024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45439</v>
      </c>
      <c r="E832" s="1" t="n">
        <v>46221</v>
      </c>
      <c r="F832" t="inlineStr">
        <is>
          <t>KRONOBERGS LÄN</t>
        </is>
      </c>
      <c r="G832" t="inlineStr">
        <is>
          <t>TINGSRYD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5223-2025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45691</v>
      </c>
      <c r="E833" s="1" t="n">
        <v>46221</v>
      </c>
      <c r="F833" t="inlineStr">
        <is>
          <t>KRONOBERGS LÄN</t>
        </is>
      </c>
      <c r="G833" t="inlineStr">
        <is>
          <t>TINGSRYD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41126-2024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46221</v>
      </c>
      <c r="F834" t="inlineStr">
        <is>
          <t>KRONOBERGS LÄN</t>
        </is>
      </c>
      <c r="G834" t="inlineStr">
        <is>
          <t>TINGSRYD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59082-2024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45637</v>
      </c>
      <c r="E835" s="1" t="n">
        <v>46221</v>
      </c>
      <c r="F835" t="inlineStr">
        <is>
          <t>KRONOBERGS LÄN</t>
        </is>
      </c>
      <c r="G835" t="inlineStr">
        <is>
          <t>TINGSRYD</t>
        </is>
      </c>
      <c r="H835" t="inlineStr">
        <is>
          <t>Övriga Aktiebolag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59092-2024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46221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53768-2024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45615</v>
      </c>
      <c r="E837" s="1" t="n">
        <v>46221</v>
      </c>
      <c r="F837" t="inlineStr">
        <is>
          <t>KRONOBERGS LÄN</t>
        </is>
      </c>
      <c r="G837" t="inlineStr">
        <is>
          <t>TINGSRYD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37393-2024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45540</v>
      </c>
      <c r="E838" s="1" t="n">
        <v>46221</v>
      </c>
      <c r="F838" t="inlineStr">
        <is>
          <t>KRONOBERGS LÄN</t>
        </is>
      </c>
      <c r="G838" t="inlineStr">
        <is>
          <t>TINGSRYD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13296-2024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45386</v>
      </c>
      <c r="E839" s="1" t="n">
        <v>46221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45522-2023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45194</v>
      </c>
      <c r="E840" s="1" t="n">
        <v>46221</v>
      </c>
      <c r="F840" t="inlineStr">
        <is>
          <t>KRONOBERGS LÄN</t>
        </is>
      </c>
      <c r="G840" t="inlineStr">
        <is>
          <t>TINGSRYD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3585-2023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44950</v>
      </c>
      <c r="E841" s="1" t="n">
        <v>46221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4571-2024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45327</v>
      </c>
      <c r="E842" s="1" t="n">
        <v>46221</v>
      </c>
      <c r="F842" t="inlineStr">
        <is>
          <t>KRONOBERGS LÄN</t>
        </is>
      </c>
      <c r="G842" t="inlineStr">
        <is>
          <t>TINGSRYD</t>
        </is>
      </c>
      <c r="H842" t="inlineStr">
        <is>
          <t>Sveaskog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19639-2024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45432</v>
      </c>
      <c r="E843" s="1" t="n">
        <v>46221</v>
      </c>
      <c r="F843" t="inlineStr">
        <is>
          <t>KRONOBERGS LÄN</t>
        </is>
      </c>
      <c r="G843" t="inlineStr">
        <is>
          <t>TINGSRYD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20111-2024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45434</v>
      </c>
      <c r="E844" s="1" t="n">
        <v>46221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45408</v>
      </c>
      <c r="E845" s="1" t="n">
        <v>46221</v>
      </c>
      <c r="F845" t="inlineStr">
        <is>
          <t>KRONOBERGS LÄN</t>
        </is>
      </c>
      <c r="G845" t="inlineStr">
        <is>
          <t>TINGSRYD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7797-2024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46221</v>
      </c>
      <c r="F846" t="inlineStr">
        <is>
          <t>KRONOBERGS LÄN</t>
        </is>
      </c>
      <c r="G846" t="inlineStr">
        <is>
          <t>TINGSRYD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63444-2023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45274</v>
      </c>
      <c r="E847" s="1" t="n">
        <v>46221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46221</v>
      </c>
      <c r="F848" t="inlineStr">
        <is>
          <t>KRONOBERGS LÄN</t>
        </is>
      </c>
      <c r="G848" t="inlineStr">
        <is>
          <t>TINGSRYD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42087-2024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45562</v>
      </c>
      <c r="E849" s="1" t="n">
        <v>46221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17936-2024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45419</v>
      </c>
      <c r="E850" s="1" t="n">
        <v>46221</v>
      </c>
      <c r="F850" t="inlineStr">
        <is>
          <t>KRONOBERGS LÄN</t>
        </is>
      </c>
      <c r="G850" t="inlineStr">
        <is>
          <t>TINGSRYD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45519</v>
      </c>
      <c r="E851" s="1" t="n">
        <v>46221</v>
      </c>
      <c r="F851" t="inlineStr">
        <is>
          <t>KRONOBERGS LÄN</t>
        </is>
      </c>
      <c r="G851" t="inlineStr">
        <is>
          <t>TINGSRYD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44743-2024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46221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45089</v>
      </c>
      <c r="E853" s="1" t="n">
        <v>46221</v>
      </c>
      <c r="F853" t="inlineStr">
        <is>
          <t>KRONOBERGS LÄN</t>
        </is>
      </c>
      <c r="G853" t="inlineStr">
        <is>
          <t>TINGSRYD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50798-2024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45602</v>
      </c>
      <c r="E854" s="1" t="n">
        <v>46221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53766-2024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45615</v>
      </c>
      <c r="E855" s="1" t="n">
        <v>46221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21506-2025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46221</v>
      </c>
      <c r="F856" t="inlineStr">
        <is>
          <t>KRONOBERGS LÄN</t>
        </is>
      </c>
      <c r="G856" t="inlineStr">
        <is>
          <t>TINGSRYD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21913-2025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45784</v>
      </c>
      <c r="E857" s="1" t="n">
        <v>46221</v>
      </c>
      <c r="F857" t="inlineStr">
        <is>
          <t>KRONOBERGS LÄN</t>
        </is>
      </c>
      <c r="G857" t="inlineStr">
        <is>
          <t>TINGSRYD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39850-2024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45553</v>
      </c>
      <c r="E858" s="1" t="n">
        <v>46221</v>
      </c>
      <c r="F858" t="inlineStr">
        <is>
          <t>KRONOBERGS LÄN</t>
        </is>
      </c>
      <c r="G858" t="inlineStr">
        <is>
          <t>TINGSRYD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21914-2025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46221</v>
      </c>
      <c r="F859" t="inlineStr">
        <is>
          <t>KRONOBERGS LÄN</t>
        </is>
      </c>
      <c r="G859" t="inlineStr">
        <is>
          <t>TINGSRYD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48953-2024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46221</v>
      </c>
      <c r="F860" t="inlineStr">
        <is>
          <t>KRONOBERGS LÄN</t>
        </is>
      </c>
      <c r="G860" t="inlineStr">
        <is>
          <t>TINGSRYD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58927-2023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46221</v>
      </c>
      <c r="F861" t="inlineStr">
        <is>
          <t>KRONOBERGS LÄN</t>
        </is>
      </c>
      <c r="G861" t="inlineStr">
        <is>
          <t>TINGSRYD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48306-2024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46221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38614-2024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45546</v>
      </c>
      <c r="E863" s="1" t="n">
        <v>46221</v>
      </c>
      <c r="F863" t="inlineStr">
        <is>
          <t>KRONOBERGS LÄN</t>
        </is>
      </c>
      <c r="G863" t="inlineStr">
        <is>
          <t>TINGSRYD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45679</v>
      </c>
      <c r="E864" s="1" t="n">
        <v>46221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8543-2025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45709</v>
      </c>
      <c r="E865" s="1" t="n">
        <v>46221</v>
      </c>
      <c r="F865" t="inlineStr">
        <is>
          <t>KRONOBERGS LÄN</t>
        </is>
      </c>
      <c r="G865" t="inlineStr">
        <is>
          <t>TINGSRYD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41824-2023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45176</v>
      </c>
      <c r="E866" s="1" t="n">
        <v>46221</v>
      </c>
      <c r="F866" t="inlineStr">
        <is>
          <t>KRONOBERGS LÄN</t>
        </is>
      </c>
      <c r="G866" t="inlineStr">
        <is>
          <t>TINGSRYD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46221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3190-2025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46221</v>
      </c>
      <c r="F868" t="inlineStr">
        <is>
          <t>KRONOBERGS LÄN</t>
        </is>
      </c>
      <c r="G868" t="inlineStr">
        <is>
          <t>TINGSRYD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32612-2022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46221</v>
      </c>
      <c r="F869" t="inlineStr">
        <is>
          <t>KRONOBERGS LÄN</t>
        </is>
      </c>
      <c r="G869" t="inlineStr">
        <is>
          <t>TINGSRYD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43263-2024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46221</v>
      </c>
      <c r="F870" t="inlineStr">
        <is>
          <t>KRONOBERGS LÄN</t>
        </is>
      </c>
      <c r="G870" t="inlineStr">
        <is>
          <t>TINGSRYD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42349-2024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45562</v>
      </c>
      <c r="E871" s="1" t="n">
        <v>46221</v>
      </c>
      <c r="F871" t="inlineStr">
        <is>
          <t>KRONOBERGS LÄN</t>
        </is>
      </c>
      <c r="G871" t="inlineStr">
        <is>
          <t>TINGSRYD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32142-2024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45511</v>
      </c>
      <c r="E872" s="1" t="n">
        <v>46221</v>
      </c>
      <c r="F872" t="inlineStr">
        <is>
          <t>KRONOBERGS LÄN</t>
        </is>
      </c>
      <c r="G872" t="inlineStr">
        <is>
          <t>TINGSRYD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58819-2024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45636</v>
      </c>
      <c r="E873" s="1" t="n">
        <v>46221</v>
      </c>
      <c r="F873" t="inlineStr">
        <is>
          <t>KRONOBERGS LÄN</t>
        </is>
      </c>
      <c r="G873" t="inlineStr">
        <is>
          <t>TINGSRYD</t>
        </is>
      </c>
      <c r="H873" t="inlineStr">
        <is>
          <t>Övriga Aktiebolag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49965-2024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45597</v>
      </c>
      <c r="E874" s="1" t="n">
        <v>46221</v>
      </c>
      <c r="F874" t="inlineStr">
        <is>
          <t>KRONOBERGS LÄN</t>
        </is>
      </c>
      <c r="G874" t="inlineStr">
        <is>
          <t>TINGSRYD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34247-2024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45524</v>
      </c>
      <c r="E875" s="1" t="n">
        <v>46221</v>
      </c>
      <c r="F875" t="inlineStr">
        <is>
          <t>KRONOBERGS LÄN</t>
        </is>
      </c>
      <c r="G875" t="inlineStr">
        <is>
          <t>TINGSRYD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45393-2024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46221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42390-2024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45565</v>
      </c>
      <c r="E877" s="1" t="n">
        <v>46221</v>
      </c>
      <c r="F877" t="inlineStr">
        <is>
          <t>KRONOBERGS LÄN</t>
        </is>
      </c>
      <c r="G877" t="inlineStr">
        <is>
          <t>TINGSRYD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32624-2022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44783</v>
      </c>
      <c r="E878" s="1" t="n">
        <v>46221</v>
      </c>
      <c r="F878" t="inlineStr">
        <is>
          <t>KRONOBERGS LÄN</t>
        </is>
      </c>
      <c r="G878" t="inlineStr">
        <is>
          <t>TINGSRYD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55126-2023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45230</v>
      </c>
      <c r="E879" s="1" t="n">
        <v>46221</v>
      </c>
      <c r="F879" t="inlineStr">
        <is>
          <t>KRONOBERGS LÄN</t>
        </is>
      </c>
      <c r="G879" t="inlineStr">
        <is>
          <t>TINGSRYD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61851-2023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45266</v>
      </c>
      <c r="E880" s="1" t="n">
        <v>46221</v>
      </c>
      <c r="F880" t="inlineStr">
        <is>
          <t>KRONOBERGS LÄN</t>
        </is>
      </c>
      <c r="G880" t="inlineStr">
        <is>
          <t>TINGSRYD</t>
        </is>
      </c>
      <c r="H880" t="inlineStr">
        <is>
          <t>Övriga Aktiebolag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22583-2025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45789</v>
      </c>
      <c r="E881" s="1" t="n">
        <v>46221</v>
      </c>
      <c r="F881" t="inlineStr">
        <is>
          <t>KRONOBERGS LÄN</t>
        </is>
      </c>
      <c r="G881" t="inlineStr">
        <is>
          <t>TINGSRYD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8743-2025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45712</v>
      </c>
      <c r="E882" s="1" t="n">
        <v>46221</v>
      </c>
      <c r="F882" t="inlineStr">
        <is>
          <t>KRONOBERGS LÄN</t>
        </is>
      </c>
      <c r="G882" t="inlineStr">
        <is>
          <t>TINGSRYD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7307-2024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45345</v>
      </c>
      <c r="E883" s="1" t="n">
        <v>46221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59085-2024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45637</v>
      </c>
      <c r="E884" s="1" t="n">
        <v>46221</v>
      </c>
      <c r="F884" t="inlineStr">
        <is>
          <t>KRONOBERGS LÄN</t>
        </is>
      </c>
      <c r="G884" t="inlineStr">
        <is>
          <t>TINGSRYD</t>
        </is>
      </c>
      <c r="H884" t="inlineStr">
        <is>
          <t>Övriga Aktiebolag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38571-2021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44407</v>
      </c>
      <c r="E885" s="1" t="n">
        <v>46221</v>
      </c>
      <c r="F885" t="inlineStr">
        <is>
          <t>KRONOBERGS LÄN</t>
        </is>
      </c>
      <c r="G885" t="inlineStr">
        <is>
          <t>TINGSRYD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7310-2024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45345</v>
      </c>
      <c r="E886" s="1" t="n">
        <v>46221</v>
      </c>
      <c r="F886" t="inlineStr">
        <is>
          <t>KRONOBERGS LÄN</t>
        </is>
      </c>
      <c r="G886" t="inlineStr">
        <is>
          <t>TINGSRYD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23830-2025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45793</v>
      </c>
      <c r="E887" s="1" t="n">
        <v>46221</v>
      </c>
      <c r="F887" t="inlineStr">
        <is>
          <t>KRONOBERGS LÄN</t>
        </is>
      </c>
      <c r="G887" t="inlineStr">
        <is>
          <t>TINGSRYD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23838-2025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46221</v>
      </c>
      <c r="F888" t="inlineStr">
        <is>
          <t>KRONOBERGS LÄN</t>
        </is>
      </c>
      <c r="G888" t="inlineStr">
        <is>
          <t>TINGSRYD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23828-2025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45793</v>
      </c>
      <c r="E889" s="1" t="n">
        <v>46221</v>
      </c>
      <c r="F889" t="inlineStr">
        <is>
          <t>KRONOBERGS LÄN</t>
        </is>
      </c>
      <c r="G889" t="inlineStr">
        <is>
          <t>TINGSRYD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23823-2025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46221</v>
      </c>
      <c r="F890" t="inlineStr">
        <is>
          <t>KRONOBERGS LÄN</t>
        </is>
      </c>
      <c r="G890" t="inlineStr">
        <is>
          <t>TINGSRYD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5265-2025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45692</v>
      </c>
      <c r="E891" s="1" t="n">
        <v>46221</v>
      </c>
      <c r="F891" t="inlineStr">
        <is>
          <t>KRONOBERGS LÄN</t>
        </is>
      </c>
      <c r="G891" t="inlineStr">
        <is>
          <t>TINGSRYD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28843-2024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45478</v>
      </c>
      <c r="E892" s="1" t="n">
        <v>46221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35854-2024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45533</v>
      </c>
      <c r="E893" s="1" t="n">
        <v>46221</v>
      </c>
      <c r="F893" t="inlineStr">
        <is>
          <t>KRONOBERGS LÄN</t>
        </is>
      </c>
      <c r="G893" t="inlineStr">
        <is>
          <t>TINGSRYD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28226-2024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45477</v>
      </c>
      <c r="E894" s="1" t="n">
        <v>46221</v>
      </c>
      <c r="F894" t="inlineStr">
        <is>
          <t>KRONOBERGS LÄN</t>
        </is>
      </c>
      <c r="G894" t="inlineStr">
        <is>
          <t>TINGSRYD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59088-2024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45637</v>
      </c>
      <c r="E895" s="1" t="n">
        <v>46221</v>
      </c>
      <c r="F895" t="inlineStr">
        <is>
          <t>KRONOBERGS LÄN</t>
        </is>
      </c>
      <c r="G895" t="inlineStr">
        <is>
          <t>TINGSRYD</t>
        </is>
      </c>
      <c r="H895" t="inlineStr">
        <is>
          <t>Övriga Aktiebolag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3971-2025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45684</v>
      </c>
      <c r="E896" s="1" t="n">
        <v>46221</v>
      </c>
      <c r="F896" t="inlineStr">
        <is>
          <t>KRONOBERGS LÄN</t>
        </is>
      </c>
      <c r="G896" t="inlineStr">
        <is>
          <t>TINGSRYD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2051-2022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44672</v>
      </c>
      <c r="E897" s="1" t="n">
        <v>46221</v>
      </c>
      <c r="F897" t="inlineStr">
        <is>
          <t>KRONOBERGS LÄN</t>
        </is>
      </c>
      <c r="G897" t="inlineStr">
        <is>
          <t>TINGSRYD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3193-2022</t>
        </is>
      </c>
      <c r="B898" t="inlineStr">
        <is>
          <t>samrådsanmälan</t>
        </is>
      </c>
      <c r="C898" t="inlineStr">
        <is>
          <t>Åtgärd i nyckelbiotop</t>
        </is>
      </c>
      <c r="D898" s="1" t="n">
        <v>44722</v>
      </c>
      <c r="E898" s="1" t="n">
        <v>46221</v>
      </c>
      <c r="F898" t="inlineStr">
        <is>
          <t>KRONOBERGS LÄN</t>
        </is>
      </c>
      <c r="G898" t="inlineStr">
        <is>
          <t>TINGSRYD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1037-2024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46221</v>
      </c>
      <c r="F899" t="inlineStr">
        <is>
          <t>KRONOBERGS LÄN</t>
        </is>
      </c>
      <c r="G899" t="inlineStr">
        <is>
          <t>TINGSRYD</t>
        </is>
      </c>
      <c r="I899" t="n">
        <v>21.1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1046-2024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46221</v>
      </c>
      <c r="F900" t="inlineStr">
        <is>
          <t>KRONOBERGS LÄN</t>
        </is>
      </c>
      <c r="G900" t="inlineStr">
        <is>
          <t>TINGSRYD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2146-2024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45456</v>
      </c>
      <c r="E901" s="1" t="n">
        <v>46221</v>
      </c>
      <c r="F901" t="inlineStr">
        <is>
          <t>KRONOBERGS LÄN</t>
        </is>
      </c>
      <c r="G901" t="inlineStr">
        <is>
          <t>TINGSRYD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4641-2024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45602</v>
      </c>
      <c r="E902" s="1" t="n">
        <v>46221</v>
      </c>
      <c r="F902" t="inlineStr">
        <is>
          <t>KRONOBERGS LÄN</t>
        </is>
      </c>
      <c r="G902" t="inlineStr">
        <is>
          <t>TINGSRYD</t>
        </is>
      </c>
      <c r="I902" t="n">
        <v>17.9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6823-2022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44894</v>
      </c>
      <c r="E903" s="1" t="n">
        <v>46221</v>
      </c>
      <c r="F903" t="inlineStr">
        <is>
          <t>KRONOBERGS LÄN</t>
        </is>
      </c>
      <c r="G903" t="inlineStr">
        <is>
          <t>TINGSRYD</t>
        </is>
      </c>
      <c r="I903" t="n">
        <v>60.6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5750-2021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44438</v>
      </c>
      <c r="E904" s="1" t="n">
        <v>46221</v>
      </c>
      <c r="F904" t="inlineStr">
        <is>
          <t>KRONOBERGS LÄN</t>
        </is>
      </c>
      <c r="G904" t="inlineStr">
        <is>
          <t>TINGSRYD</t>
        </is>
      </c>
      <c r="I904" t="n">
        <v>13.3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1943-2024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45443</v>
      </c>
      <c r="E905" s="1" t="n">
        <v>46221</v>
      </c>
      <c r="F905" t="inlineStr">
        <is>
          <t>KRONOBERGS LÄN</t>
        </is>
      </c>
      <c r="G905" t="inlineStr">
        <is>
          <t>TINGSRYD</t>
        </is>
      </c>
      <c r="I905" t="n">
        <v>24.1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46221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46221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46221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46221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1040-2024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46221</v>
      </c>
      <c r="F910" t="inlineStr">
        <is>
          <t>KRONOBERGS LÄN</t>
        </is>
      </c>
      <c r="G910" t="inlineStr">
        <is>
          <t>TINGSRYD</t>
        </is>
      </c>
      <c r="I910" t="n">
        <v>33.6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2531-2023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45128</v>
      </c>
      <c r="E911" s="1" t="n">
        <v>46221</v>
      </c>
      <c r="F911" t="inlineStr">
        <is>
          <t>KRONOBERGS LÄN</t>
        </is>
      </c>
      <c r="G911" t="inlineStr">
        <is>
          <t>TINGSRYD</t>
        </is>
      </c>
      <c r="I911" t="n">
        <v>17.9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1047-2024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45387</v>
      </c>
      <c r="E912" s="1" t="n">
        <v>46221</v>
      </c>
      <c r="F912" t="inlineStr">
        <is>
          <t>KRONOBERGS LÄN</t>
        </is>
      </c>
      <c r="G912" t="inlineStr">
        <is>
          <t>TINGSRYD</t>
        </is>
      </c>
      <c r="I912" t="n">
        <v>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710-2024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46221</v>
      </c>
      <c r="F913" t="inlineStr">
        <is>
          <t>KRONOBERGS LÄN</t>
        </is>
      </c>
      <c r="G913" t="inlineStr">
        <is>
          <t>TINGSRYD</t>
        </is>
      </c>
      <c r="I913" t="n">
        <v>26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3395-2024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45534</v>
      </c>
      <c r="E914" s="1" t="n">
        <v>46221</v>
      </c>
      <c r="F914" t="inlineStr">
        <is>
          <t>KRONOBERGS LÄN</t>
        </is>
      </c>
      <c r="G914" t="inlineStr">
        <is>
          <t>TINGSRYD</t>
        </is>
      </c>
      <c r="I914" t="n">
        <v>36.4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6989-2022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44901</v>
      </c>
      <c r="E915" s="1" t="n">
        <v>46221</v>
      </c>
      <c r="F915" t="inlineStr">
        <is>
          <t>KRONOBERGS LÄN</t>
        </is>
      </c>
      <c r="G915" t="inlineStr">
        <is>
          <t>TINGSRYD</t>
        </is>
      </c>
      <c r="I915" t="n">
        <v>97.7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4636-2022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44792</v>
      </c>
      <c r="E916" s="1" t="n">
        <v>46221</v>
      </c>
      <c r="F916" t="inlineStr">
        <is>
          <t>KRONOBERGS LÄN</t>
        </is>
      </c>
      <c r="G916" t="inlineStr">
        <is>
          <t>TINGSRYD</t>
        </is>
      </c>
      <c r="H916" t="inlineStr">
        <is>
          <t>Kyrkan</t>
        </is>
      </c>
      <c r="I916" t="n">
        <v>51.2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709-2024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45362</v>
      </c>
      <c r="E917" s="1" t="n">
        <v>46221</v>
      </c>
      <c r="F917" t="inlineStr">
        <is>
          <t>KRONOBERGS LÄN</t>
        </is>
      </c>
      <c r="G917" t="inlineStr">
        <is>
          <t>TINGSRYD</t>
        </is>
      </c>
      <c r="I917" t="n">
        <v>81.7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363-2024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46221</v>
      </c>
      <c r="F918" t="inlineStr">
        <is>
          <t>KRONOBERGS LÄN</t>
        </is>
      </c>
      <c r="G918" t="inlineStr">
        <is>
          <t>TINGSRYD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6544-2022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44883</v>
      </c>
      <c r="E919" s="1" t="n">
        <v>46221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360-2024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45330</v>
      </c>
      <c r="E920" s="1" t="n">
        <v>46221</v>
      </c>
      <c r="F920" t="inlineStr">
        <is>
          <t>KRONOBERGS LÄN</t>
        </is>
      </c>
      <c r="G920" t="inlineStr">
        <is>
          <t>TINGSRYD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70-2023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44928</v>
      </c>
      <c r="E921" s="1" t="n">
        <v>46221</v>
      </c>
      <c r="F921" t="inlineStr">
        <is>
          <t>KRONOBERGS LÄN</t>
        </is>
      </c>
      <c r="G921" t="inlineStr">
        <is>
          <t>TINGSRYD</t>
        </is>
      </c>
      <c r="I921" t="n">
        <v>25.4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2627-2024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45477</v>
      </c>
      <c r="E922" s="1" t="n">
        <v>46221</v>
      </c>
      <c r="F922" t="inlineStr">
        <is>
          <t>KRONOBERGS LÄN</t>
        </is>
      </c>
      <c r="G922" t="inlineStr">
        <is>
          <t>TINGSRYD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600-2023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46221</v>
      </c>
      <c r="F923" t="inlineStr">
        <is>
          <t>KRONOBERGS LÄN</t>
        </is>
      </c>
      <c r="G923" t="inlineStr">
        <is>
          <t>TINGSRYD</t>
        </is>
      </c>
      <c r="I923" t="n">
        <v>8.1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6948-2022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44900</v>
      </c>
      <c r="E924" s="1" t="n">
        <v>46221</v>
      </c>
      <c r="F924" t="inlineStr">
        <is>
          <t>KRONOBERGS LÄN</t>
        </is>
      </c>
      <c r="G924" t="inlineStr">
        <is>
          <t>TINGSRYD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602-2023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44971</v>
      </c>
      <c r="E925" s="1" t="n">
        <v>46221</v>
      </c>
      <c r="F925" t="inlineStr">
        <is>
          <t>KRONOBERGS LÄN</t>
        </is>
      </c>
      <c r="G925" t="inlineStr">
        <is>
          <t>TINGSRYD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3883-2023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45230</v>
      </c>
      <c r="E926" s="1" t="n">
        <v>46221</v>
      </c>
      <c r="F926" t="inlineStr">
        <is>
          <t>KRONOBERGS LÄN</t>
        </is>
      </c>
      <c r="G926" t="inlineStr">
        <is>
          <t>TINGSRYD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807-2025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45730</v>
      </c>
      <c r="E927" s="1" t="n">
        <v>46221</v>
      </c>
      <c r="F927" t="inlineStr">
        <is>
          <t>KRONOBERGS LÄN</t>
        </is>
      </c>
      <c r="G927" t="inlineStr">
        <is>
          <t>TINGSRYD</t>
        </is>
      </c>
      <c r="I927" t="n">
        <v>17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30-2025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46221</v>
      </c>
      <c r="F928" t="inlineStr">
        <is>
          <t>KRONOBERGS LÄN</t>
        </is>
      </c>
      <c r="G928" t="inlineStr">
        <is>
          <t>TINGSRYD</t>
        </is>
      </c>
      <c r="I928" t="n">
        <v>12.5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759-2025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45727</v>
      </c>
      <c r="E929" s="1" t="n">
        <v>46221</v>
      </c>
      <c r="F929" t="inlineStr">
        <is>
          <t>KRONOBERGS LÄN</t>
        </is>
      </c>
      <c r="G929" t="inlineStr">
        <is>
          <t>TINGSRYD</t>
        </is>
      </c>
      <c r="I929" t="n">
        <v>38.5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31-2025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45665</v>
      </c>
      <c r="E930" s="1" t="n">
        <v>46221</v>
      </c>
      <c r="F930" t="inlineStr">
        <is>
          <t>KRONOBERGS LÄN</t>
        </is>
      </c>
      <c r="G930" t="inlineStr">
        <is>
          <t>TINGSRYD</t>
        </is>
      </c>
      <c r="I930" t="n">
        <v>10.5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1718-2025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46221</v>
      </c>
      <c r="F931" t="inlineStr">
        <is>
          <t>KRONOBERGS LÄN</t>
        </is>
      </c>
      <c r="G931" t="inlineStr">
        <is>
          <t>TINGSRYD</t>
        </is>
      </c>
      <c r="I931" t="n">
        <v>23.5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1720-2025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46221</v>
      </c>
      <c r="F932" t="inlineStr">
        <is>
          <t>KRONOBERGS LÄN</t>
        </is>
      </c>
      <c r="G932" t="inlineStr">
        <is>
          <t>TINGSRYD</t>
        </is>
      </c>
      <c r="I932" t="n">
        <v>25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106-2026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46038</v>
      </c>
      <c r="E933" s="1" t="n">
        <v>46221</v>
      </c>
      <c r="F933" t="inlineStr">
        <is>
          <t>KRONOBERGS LÄN</t>
        </is>
      </c>
      <c r="G933" t="inlineStr">
        <is>
          <t>TINGSRYD</t>
        </is>
      </c>
      <c r="I933" t="n">
        <v>27.3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132-2026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46221</v>
      </c>
      <c r="F934" t="inlineStr">
        <is>
          <t>KRONOBERGS LÄN</t>
        </is>
      </c>
      <c r="G934" t="inlineStr">
        <is>
          <t>TINGSRYD</t>
        </is>
      </c>
      <c r="I934" t="n">
        <v>30.2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133-2026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46221</v>
      </c>
      <c r="F935" t="inlineStr">
        <is>
          <t>KRONOBERGS LÄN</t>
        </is>
      </c>
      <c r="G935" t="inlineStr">
        <is>
          <t>TINGSRYD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131-2026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46221</v>
      </c>
      <c r="F936" t="inlineStr">
        <is>
          <t>KRONOBERGS LÄN</t>
        </is>
      </c>
      <c r="G936" t="inlineStr">
        <is>
          <t>TINGSRYD</t>
        </is>
      </c>
      <c r="I936" t="n">
        <v>35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134-2026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46221</v>
      </c>
      <c r="F937" t="inlineStr">
        <is>
          <t>KRONOBERGS LÄN</t>
        </is>
      </c>
      <c r="G937" t="inlineStr">
        <is>
          <t>TINGSRYD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175-2026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46045</v>
      </c>
      <c r="E938" s="1" t="n">
        <v>46221</v>
      </c>
      <c r="F938" t="inlineStr">
        <is>
          <t>KRONOBERGS LÄN</t>
        </is>
      </c>
      <c r="G938" t="inlineStr">
        <is>
          <t>TINGSRYD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1090-2026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46132</v>
      </c>
      <c r="E939" s="1" t="n">
        <v>46221</v>
      </c>
      <c r="F939" t="inlineStr">
        <is>
          <t>KRONOBERGS LÄN</t>
        </is>
      </c>
      <c r="G939" t="inlineStr">
        <is>
          <t>TINGSRYD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1660-2026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46181</v>
      </c>
      <c r="E940" s="1" t="n">
        <v>46221</v>
      </c>
      <c r="F940" t="inlineStr">
        <is>
          <t>KRONOBERGS LÄN</t>
        </is>
      </c>
      <c r="G940" t="inlineStr">
        <is>
          <t>TINGSRYD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46221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46221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2026-07-18T01:22:02Z</dcterms:created>
  <dcterms:modified xmlns:dcterms="http://purl.org/dc/terms/" xmlns:xsi="http://www.w3.org/2001/XMLSchema-instance" xsi:type="dcterms:W3CDTF">2026-07-18T01:22:03Z</dcterms:modified>
</cp:coreProperties>
</file>