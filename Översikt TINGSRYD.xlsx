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46218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46218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46218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46218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46218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46218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46218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46218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46218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46218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46218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s="2" t="inlineStr">
        <is>
          <t>Knärot
Blomkålssvamp
Grönpyrola</t>
        </is>
      </c>
      <c r="V12">
        <f>HYPERLINK("https://klasma.github.io/Logging_0763/artfynd/A 11575-2023 artfynd.xlsx", "A 11575-2023")</f>
        <v/>
      </c>
      <c r="W12">
        <f>HYPERLINK("https://klasma.github.io/Logging_0763/kartor/A 11575-2023 karta.png", "A 11575-2023")</f>
        <v/>
      </c>
      <c r="X12">
        <f>HYPERLINK("https://klasma.github.io/Logging_0763/knärot/A 11575-2023 karta knärot.png", "A 11575-2023")</f>
        <v/>
      </c>
      <c r="Y12">
        <f>HYPERLINK("https://klasma.github.io/Logging_0763/klagomål/A 11575-2023 FSC-klagomål.docx", "A 11575-2023")</f>
        <v/>
      </c>
      <c r="Z12">
        <f>HYPERLINK("https://klasma.github.io/Logging_0763/klagomålsmail/A 11575-2023 FSC-klagomål mail.docx", "A 11575-2023")</f>
        <v/>
      </c>
      <c r="AA12">
        <f>HYPERLINK("https://klasma.github.io/Logging_0763/tillsyn/A 11575-2023 tillsynsbegäran.docx", "A 11575-2023")</f>
        <v/>
      </c>
      <c r="AB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46218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s="2" t="inlineStr">
        <is>
          <t>Skogsalm
Lönnlav
Spillkråka</t>
        </is>
      </c>
      <c r="V13">
        <f>HYPERLINK("https://klasma.github.io/Logging_0763/artfynd/A 42487-2024 artfynd.xlsx", "A 42487-2024")</f>
        <v/>
      </c>
      <c r="W13">
        <f>HYPERLINK("https://klasma.github.io/Logging_0763/kartor/A 42487-2024 karta.png", "A 42487-2024")</f>
        <v/>
      </c>
      <c r="Y13">
        <f>HYPERLINK("https://klasma.github.io/Logging_0763/klagomål/A 42487-2024 FSC-klagomål.docx", "A 42487-2024")</f>
        <v/>
      </c>
      <c r="Z13">
        <f>HYPERLINK("https://klasma.github.io/Logging_0763/klagomålsmail/A 42487-2024 FSC-klagomål mail.docx", "A 42487-2024")</f>
        <v/>
      </c>
      <c r="AA13">
        <f>HYPERLINK("https://klasma.github.io/Logging_0763/tillsyn/A 42487-2024 tillsynsbegäran.docx", "A 42487-2024")</f>
        <v/>
      </c>
      <c r="AB13">
        <f>HYPERLINK("https://klasma.github.io/Logging_0763/tillsynsmail/A 42487-2024 tillsynsbegäran mail.docx", "A 42487-2024")</f>
        <v/>
      </c>
      <c r="AC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46218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51691-2022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46218</v>
      </c>
      <c r="F15" t="inlineStr">
        <is>
          <t>KRONOBERGS LÄN</t>
        </is>
      </c>
      <c r="G15" t="inlineStr">
        <is>
          <t>TINGSRYD</t>
        </is>
      </c>
      <c r="I15" t="n">
        <v>3.5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Knärot
Blåmossa</t>
        </is>
      </c>
      <c r="V15">
        <f>HYPERLINK("https://klasma.github.io/Logging_0763/artfynd/A 51691-2022 artfynd.xlsx", "A 51691-2022")</f>
        <v/>
      </c>
      <c r="W15">
        <f>HYPERLINK("https://klasma.github.io/Logging_0763/kartor/A 51691-2022 karta.png", "A 51691-2022")</f>
        <v/>
      </c>
      <c r="X15">
        <f>HYPERLINK("https://klasma.github.io/Logging_0763/knärot/A 51691-2022 karta knärot.png", "A 51691-2022")</f>
        <v/>
      </c>
      <c r="Y15">
        <f>HYPERLINK("https://klasma.github.io/Logging_0763/klagomål/A 51691-2022 FSC-klagomål.docx", "A 51691-2022")</f>
        <v/>
      </c>
      <c r="Z15">
        <f>HYPERLINK("https://klasma.github.io/Logging_0763/klagomålsmail/A 51691-2022 FSC-klagomål mail.docx", "A 51691-2022")</f>
        <v/>
      </c>
      <c r="AA15">
        <f>HYPERLINK("https://klasma.github.io/Logging_0763/tillsyn/A 51691-2022 tillsynsbegäran.docx", "A 51691-2022")</f>
        <v/>
      </c>
      <c r="AB15">
        <f>HYPERLINK("https://klasma.github.io/Logging_0763/tillsynsmail/A 51691-2022 tillsynsbegäran mail.docx", "A 51691-2022")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46218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s="2" t="inlineStr">
        <is>
          <t>Knärot
Kungsfågel</t>
        </is>
      </c>
      <c r="V16">
        <f>HYPERLINK("https://klasma.github.io/Logging_0763/artfynd/A 13497-2024 artfynd.xlsx", "A 13497-2024")</f>
        <v/>
      </c>
      <c r="W16">
        <f>HYPERLINK("https://klasma.github.io/Logging_0763/kartor/A 13497-2024 karta.png", "A 13497-2024")</f>
        <v/>
      </c>
      <c r="X16">
        <f>HYPERLINK("https://klasma.github.io/Logging_0763/knärot/A 13497-2024 karta knärot.png", "A 13497-2024")</f>
        <v/>
      </c>
      <c r="Y16">
        <f>HYPERLINK("https://klasma.github.io/Logging_0763/klagomål/A 13497-2024 FSC-klagomål.docx", "A 13497-2024")</f>
        <v/>
      </c>
      <c r="Z16">
        <f>HYPERLINK("https://klasma.github.io/Logging_0763/klagomålsmail/A 13497-2024 FSC-klagomål mail.docx", "A 13497-2024")</f>
        <v/>
      </c>
      <c r="AA16">
        <f>HYPERLINK("https://klasma.github.io/Logging_0763/tillsyn/A 13497-2024 tillsynsbegäran.docx", "A 13497-2024")</f>
        <v/>
      </c>
      <c r="AB16">
        <f>HYPERLINK("https://klasma.github.io/Logging_0763/tillsynsmail/A 13497-2024 tillsynsbegäran mail.docx", "A 13497-2024")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46218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Mörk dunört
Åkerkål</t>
        </is>
      </c>
      <c r="V17">
        <f>HYPERLINK("https://klasma.github.io/Logging_0763/artfynd/A 28168-2023 artfynd.xlsx", "A 28168-2023")</f>
        <v/>
      </c>
      <c r="W17">
        <f>HYPERLINK("https://klasma.github.io/Logging_0763/kartor/A 28168-2023 karta.png", "A 28168-2023")</f>
        <v/>
      </c>
      <c r="Y17">
        <f>HYPERLINK("https://klasma.github.io/Logging_0763/klagomål/A 28168-2023 FSC-klagomål.docx", "A 28168-2023")</f>
        <v/>
      </c>
      <c r="Z17">
        <f>HYPERLINK("https://klasma.github.io/Logging_0763/klagomålsmail/A 28168-2023 FSC-klagomål mail.docx", "A 28168-2023")</f>
        <v/>
      </c>
      <c r="AA17">
        <f>HYPERLINK("https://klasma.github.io/Logging_0763/tillsyn/A 28168-2023 tillsynsbegäran.docx", "A 28168-2023")</f>
        <v/>
      </c>
      <c r="AB17">
        <f>HYPERLINK("https://klasma.github.io/Logging_0763/tillsynsmail/A 28168-2023 tillsynsbegäran mail.docx", "A 28168-2023")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46218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Vårstarr
Västlig hakmossa</t>
        </is>
      </c>
      <c r="V18">
        <f>HYPERLINK("https://klasma.github.io/Logging_0763/artfynd/A 30330-2025 artfynd.xlsx", "A 30330-2025")</f>
        <v/>
      </c>
      <c r="W18">
        <f>HYPERLINK("https://klasma.github.io/Logging_0763/kartor/A 30330-2025 karta.png", "A 30330-2025")</f>
        <v/>
      </c>
      <c r="Y18">
        <f>HYPERLINK("https://klasma.github.io/Logging_0763/klagomål/A 30330-2025 FSC-klagomål.docx", "A 30330-2025")</f>
        <v/>
      </c>
      <c r="Z18">
        <f>HYPERLINK("https://klasma.github.io/Logging_0763/klagomålsmail/A 30330-2025 FSC-klagomål mail.docx", "A 30330-2025")</f>
        <v/>
      </c>
      <c r="AA18">
        <f>HYPERLINK("https://klasma.github.io/Logging_0763/tillsyn/A 30330-2025 tillsynsbegäran.docx", "A 30330-2025")</f>
        <v/>
      </c>
      <c r="AB18">
        <f>HYPERLINK("https://klasma.github.io/Logging_0763/tillsynsmail/A 30330-2025 tillsynsbegäran mail.docx", "A 30330-2025")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46218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Slåttergubbe
Fläcknycklar</t>
        </is>
      </c>
      <c r="V19">
        <f>HYPERLINK("https://klasma.github.io/Logging_0763/artfynd/A 26756-2025 artfynd.xlsx", "A 26756-2025")</f>
        <v/>
      </c>
      <c r="W19">
        <f>HYPERLINK("https://klasma.github.io/Logging_0763/kartor/A 26756-2025 karta.png", "A 26756-2025")</f>
        <v/>
      </c>
      <c r="Y19">
        <f>HYPERLINK("https://klasma.github.io/Logging_0763/klagomål/A 26756-2025 FSC-klagomål.docx", "A 26756-2025")</f>
        <v/>
      </c>
      <c r="Z19">
        <f>HYPERLINK("https://klasma.github.io/Logging_0763/klagomålsmail/A 26756-2025 FSC-klagomål mail.docx", "A 26756-2025")</f>
        <v/>
      </c>
      <c r="AA19">
        <f>HYPERLINK("https://klasma.github.io/Logging_0763/tillsyn/A 26756-2025 tillsynsbegäran.docx", "A 26756-2025")</f>
        <v/>
      </c>
      <c r="AB19">
        <f>HYPERLINK("https://klasma.github.io/Logging_0763/tillsynsmail/A 26756-2025 tillsynsbegäran mail.docx", "A 26756-2025")</f>
        <v/>
      </c>
    </row>
    <row r="20" ht="15" customHeight="1">
      <c r="A20" t="inlineStr">
        <is>
          <t>A 5344-2026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46050</v>
      </c>
      <c r="E20" s="1" t="n">
        <v>46218</v>
      </c>
      <c r="F20" t="inlineStr">
        <is>
          <t>KRONOBERGS LÄN</t>
        </is>
      </c>
      <c r="G20" t="inlineStr">
        <is>
          <t>TINGSRYD</t>
        </is>
      </c>
      <c r="I20" t="n">
        <v>2.5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Svart trolldruva
Underviol</t>
        </is>
      </c>
      <c r="V20">
        <f>HYPERLINK("https://klasma.github.io/Logging_0763/artfynd/A 5344-2026 artfynd.xlsx", "A 5344-2026")</f>
        <v/>
      </c>
      <c r="W20">
        <f>HYPERLINK("https://klasma.github.io/Logging_0763/kartor/A 5344-2026 karta.png", "A 5344-2026")</f>
        <v/>
      </c>
      <c r="Y20">
        <f>HYPERLINK("https://klasma.github.io/Logging_0763/klagomål/A 5344-2026 FSC-klagomål.docx", "A 5344-2026")</f>
        <v/>
      </c>
      <c r="Z20">
        <f>HYPERLINK("https://klasma.github.io/Logging_0763/klagomålsmail/A 5344-2026 FSC-klagomål mail.docx", "A 5344-2026")</f>
        <v/>
      </c>
      <c r="AA20">
        <f>HYPERLINK("https://klasma.github.io/Logging_0763/tillsyn/A 5344-2026 tillsynsbegäran.docx", "A 5344-2026")</f>
        <v/>
      </c>
      <c r="AB20">
        <f>HYPERLINK("https://klasma.github.io/Logging_0763/tillsynsmail/A 5344-2026 tillsynsbegäran mail.docx", "A 5344-2026")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46218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46218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46218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44578</v>
      </c>
      <c r="E24" s="1" t="n">
        <v>46218</v>
      </c>
      <c r="F24" t="inlineStr">
        <is>
          <t>KRONOBERGS LÄN</t>
        </is>
      </c>
      <c r="G24" t="inlineStr">
        <is>
          <t>TINGSRYD</t>
        </is>
      </c>
      <c r="H24" t="inlineStr">
        <is>
          <t>Övriga Aktiebolag</t>
        </is>
      </c>
      <c r="I24" t="n">
        <v>0.7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Drillsnäppa</t>
        </is>
      </c>
      <c r="V24">
        <f>HYPERLINK("https://klasma.github.io/Logging_0763/artfynd/A 2132-2022 artfynd.xlsx", "A 2132-2022")</f>
        <v/>
      </c>
      <c r="W24">
        <f>HYPERLINK("https://klasma.github.io/Logging_0763/kartor/A 2132-2022 karta.png", "A 2132-2022")</f>
        <v/>
      </c>
      <c r="Y24">
        <f>HYPERLINK("https://klasma.github.io/Logging_0763/klagomål/A 2132-2022 FSC-klagomål.docx", "A 2132-2022")</f>
        <v/>
      </c>
      <c r="Z24">
        <f>HYPERLINK("https://klasma.github.io/Logging_0763/klagomålsmail/A 2132-2022 FSC-klagomål mail.docx", "A 2132-2022")</f>
        <v/>
      </c>
      <c r="AA24">
        <f>HYPERLINK("https://klasma.github.io/Logging_0763/tillsyn/A 2132-2022 tillsynsbegäran.docx", "A 2132-2022")</f>
        <v/>
      </c>
      <c r="AB24">
        <f>HYPERLINK("https://klasma.github.io/Logging_0763/tillsynsmail/A 2132-2022 tillsynsbegäran mail.docx", "A 2132-2022")</f>
        <v/>
      </c>
      <c r="AC24">
        <f>HYPERLINK("https://klasma.github.io/Logging_0763/fåglar/A 2132-2022 prioriterade fågelarter.docx", "A 2132-2022")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46218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Talltita</t>
        </is>
      </c>
      <c r="V25">
        <f>HYPERLINK("https://klasma.github.io/Logging_0763/artfynd/A 29918-2022 artfynd.xlsx", "A 29918-2022")</f>
        <v/>
      </c>
      <c r="W25">
        <f>HYPERLINK("https://klasma.github.io/Logging_0763/kartor/A 29918-2022 karta.png", "A 29918-2022")</f>
        <v/>
      </c>
      <c r="Y25">
        <f>HYPERLINK("https://klasma.github.io/Logging_0763/klagomål/A 29918-2022 FSC-klagomål.docx", "A 29918-2022")</f>
        <v/>
      </c>
      <c r="Z25">
        <f>HYPERLINK("https://klasma.github.io/Logging_0763/klagomålsmail/A 29918-2022 FSC-klagomål mail.docx", "A 29918-2022")</f>
        <v/>
      </c>
      <c r="AA25">
        <f>HYPERLINK("https://klasma.github.io/Logging_0763/tillsyn/A 29918-2022 tillsynsbegäran.docx", "A 29918-2022")</f>
        <v/>
      </c>
      <c r="AB25">
        <f>HYPERLINK("https://klasma.github.io/Logging_0763/tillsynsmail/A 29918-2022 tillsynsbegäran mail.docx", "A 29918-2022")</f>
        <v/>
      </c>
      <c r="AC25">
        <f>HYPERLINK("https://klasma.github.io/Logging_0763/fåglar/A 29918-2022 prioriterade fågelarter.docx", "A 29918-2022")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46218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HYPERLINK("https://klasma.github.io/Logging_0763/artfynd/A 25009-2024 artfynd.xlsx", "A 25009-2024")</f>
        <v/>
      </c>
      <c r="W26">
        <f>HYPERLINK("https://klasma.github.io/Logging_0763/kartor/A 25009-2024 karta.png", "A 25009-2024")</f>
        <v/>
      </c>
      <c r="Y26">
        <f>HYPERLINK("https://klasma.github.io/Logging_0763/klagomål/A 25009-2024 FSC-klagomål.docx", "A 25009-2024")</f>
        <v/>
      </c>
      <c r="Z26">
        <f>HYPERLINK("https://klasma.github.io/Logging_0763/klagomålsmail/A 25009-2024 FSC-klagomål mail.docx", "A 25009-2024")</f>
        <v/>
      </c>
      <c r="AA26">
        <f>HYPERLINK("https://klasma.github.io/Logging_0763/tillsyn/A 25009-2024 tillsynsbegäran.docx", "A 25009-2024")</f>
        <v/>
      </c>
      <c r="AB26">
        <f>HYPERLINK("https://klasma.github.io/Logging_0763/tillsynsmail/A 25009-2024 tillsynsbegäran mail.docx", "A 25009-2024")</f>
        <v/>
      </c>
    </row>
    <row r="27" ht="15" customHeight="1">
      <c r="A27" t="inlineStr">
        <is>
          <t>A 9825-2023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46218</v>
      </c>
      <c r="F27" t="inlineStr">
        <is>
          <t>KRONOBERGS LÄN</t>
        </is>
      </c>
      <c r="G27" t="inlineStr">
        <is>
          <t>TINGSRYD</t>
        </is>
      </c>
      <c r="I27" t="n">
        <v>3.5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Huggorm</t>
        </is>
      </c>
      <c r="V27">
        <f>HYPERLINK("https://klasma.github.io/Logging_0763/artfynd/A 9825-2023 artfynd.xlsx", "A 9825-2023")</f>
        <v/>
      </c>
      <c r="W27">
        <f>HYPERLINK("https://klasma.github.io/Logging_0763/kartor/A 9825-2023 karta.png", "A 9825-2023")</f>
        <v/>
      </c>
      <c r="Y27">
        <f>HYPERLINK("https://klasma.github.io/Logging_0763/klagomål/A 9825-2023 FSC-klagomål.docx", "A 9825-2023")</f>
        <v/>
      </c>
      <c r="Z27">
        <f>HYPERLINK("https://klasma.github.io/Logging_0763/klagomålsmail/A 9825-2023 FSC-klagomål mail.docx", "A 9825-2023")</f>
        <v/>
      </c>
      <c r="AA27">
        <f>HYPERLINK("https://klasma.github.io/Logging_0763/tillsyn/A 9825-2023 tillsynsbegäran.docx", "A 9825-2023")</f>
        <v/>
      </c>
      <c r="AB27">
        <f>HYPERLINK("https://klasma.github.io/Logging_0763/tillsynsmail/A 9825-2023 tillsynsbegäran mail.docx", "A 9825-2023")</f>
        <v/>
      </c>
    </row>
    <row r="28" ht="15" customHeight="1">
      <c r="A28" t="inlineStr">
        <is>
          <t>A 25814-2022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44729</v>
      </c>
      <c r="E28" s="1" t="n">
        <v>46218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Mindre bastardsvärmare</t>
        </is>
      </c>
      <c r="V28">
        <f>HYPERLINK("https://klasma.github.io/Logging_0763/artfynd/A 25814-2022 artfynd.xlsx", "A 25814-2022")</f>
        <v/>
      </c>
      <c r="W28">
        <f>HYPERLINK("https://klasma.github.io/Logging_0763/kartor/A 25814-2022 karta.png", "A 25814-2022")</f>
        <v/>
      </c>
      <c r="Y28">
        <f>HYPERLINK("https://klasma.github.io/Logging_0763/klagomål/A 25814-2022 FSC-klagomål.docx", "A 25814-2022")</f>
        <v/>
      </c>
      <c r="Z28">
        <f>HYPERLINK("https://klasma.github.io/Logging_0763/klagomålsmail/A 25814-2022 FSC-klagomål mail.docx", "A 25814-2022")</f>
        <v/>
      </c>
      <c r="AA28">
        <f>HYPERLINK("https://klasma.github.io/Logging_0763/tillsyn/A 25814-2022 tillsynsbegäran.docx", "A 25814-2022")</f>
        <v/>
      </c>
      <c r="AB28">
        <f>HYPERLINK("https://klasma.github.io/Logging_0763/tillsynsmail/A 25814-2022 tillsynsbegäran mail.docx", "A 25814-2022")</f>
        <v/>
      </c>
    </row>
    <row r="29" ht="15" customHeight="1">
      <c r="A29" t="inlineStr">
        <is>
          <t>A 6548-2024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45341</v>
      </c>
      <c r="E29" s="1" t="n">
        <v>46218</v>
      </c>
      <c r="F29" t="inlineStr">
        <is>
          <t>KRONOBERGS LÄN</t>
        </is>
      </c>
      <c r="G29" t="inlineStr">
        <is>
          <t>TINGSRYD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Revlummer</t>
        </is>
      </c>
      <c r="V29">
        <f>HYPERLINK("https://klasma.github.io/Logging_0763/artfynd/A 6548-2024 artfynd.xlsx", "A 6548-2024")</f>
        <v/>
      </c>
      <c r="W29">
        <f>HYPERLINK("https://klasma.github.io/Logging_0763/kartor/A 6548-2024 karta.png", "A 6548-2024")</f>
        <v/>
      </c>
      <c r="Y29">
        <f>HYPERLINK("https://klasma.github.io/Logging_0763/klagomål/A 6548-2024 FSC-klagomål.docx", "A 6548-2024")</f>
        <v/>
      </c>
      <c r="Z29">
        <f>HYPERLINK("https://klasma.github.io/Logging_0763/klagomålsmail/A 6548-2024 FSC-klagomål mail.docx", "A 6548-2024")</f>
        <v/>
      </c>
      <c r="AA29">
        <f>HYPERLINK("https://klasma.github.io/Logging_0763/tillsyn/A 6548-2024 tillsynsbegäran.docx", "A 6548-2024")</f>
        <v/>
      </c>
      <c r="AB29">
        <f>HYPERLINK("https://klasma.github.io/Logging_0763/tillsynsmail/A 6548-2024 tillsynsbegäran mail.docx", "A 6548-2024")</f>
        <v/>
      </c>
    </row>
    <row r="30" ht="15" customHeight="1">
      <c r="A30" t="inlineStr">
        <is>
          <t>A 11270-2023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46218</v>
      </c>
      <c r="F30" t="inlineStr">
        <is>
          <t>KRONOBERGS LÄN</t>
        </is>
      </c>
      <c r="G30" t="inlineStr">
        <is>
          <t>TINGSRYD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Brunag</t>
        </is>
      </c>
      <c r="V30">
        <f>HYPERLINK("https://klasma.github.io/Logging_0763/artfynd/A 11270-2023 artfynd.xlsx", "A 11270-2023")</f>
        <v/>
      </c>
      <c r="W30">
        <f>HYPERLINK("https://klasma.github.io/Logging_0763/kartor/A 11270-2023 karta.png", "A 11270-2023")</f>
        <v/>
      </c>
      <c r="Y30">
        <f>HYPERLINK("https://klasma.github.io/Logging_0763/klagomål/A 11270-2023 FSC-klagomål.docx", "A 11270-2023")</f>
        <v/>
      </c>
      <c r="Z30">
        <f>HYPERLINK("https://klasma.github.io/Logging_0763/klagomålsmail/A 11270-2023 FSC-klagomål mail.docx", "A 11270-2023")</f>
        <v/>
      </c>
      <c r="AA30">
        <f>HYPERLINK("https://klasma.github.io/Logging_0763/tillsyn/A 11270-2023 tillsynsbegäran.docx", "A 11270-2023")</f>
        <v/>
      </c>
      <c r="AB30">
        <f>HYPERLINK("https://klasma.github.io/Logging_0763/tillsynsmail/A 11270-2023 tillsynsbegäran mail.docx", "A 11270-2023")</f>
        <v/>
      </c>
    </row>
    <row r="31" ht="15" customHeight="1">
      <c r="A31" t="inlineStr">
        <is>
          <t>A 61657-2024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46218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s="2" t="inlineStr">
        <is>
          <t>Slåttergubbemal</t>
        </is>
      </c>
      <c r="V31">
        <f>HYPERLINK("https://klasma.github.io/Logging_0763/artfynd/A 61657-2024 artfynd.xlsx", "A 61657-2024")</f>
        <v/>
      </c>
      <c r="W31">
        <f>HYPERLINK("https://klasma.github.io/Logging_0763/kartor/A 61657-2024 karta.png", "A 61657-2024")</f>
        <v/>
      </c>
      <c r="Y31">
        <f>HYPERLINK("https://klasma.github.io/Logging_0763/klagomål/A 61657-2024 FSC-klagomål.docx", "A 61657-2024")</f>
        <v/>
      </c>
      <c r="Z31">
        <f>HYPERLINK("https://klasma.github.io/Logging_0763/klagomålsmail/A 61657-2024 FSC-klagomål mail.docx", "A 61657-2024")</f>
        <v/>
      </c>
      <c r="AA31">
        <f>HYPERLINK("https://klasma.github.io/Logging_0763/tillsyn/A 61657-2024 tillsynsbegäran.docx", "A 61657-2024")</f>
        <v/>
      </c>
      <c r="AB31">
        <f>HYPERLINK("https://klasma.github.io/Logging_0763/tillsynsmail/A 61657-2024 tillsynsbegäran mail.docx", "A 61657-2024")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46218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Safsa</t>
        </is>
      </c>
      <c r="V32">
        <f>HYPERLINK("https://klasma.github.io/Logging_0763/artfynd/A 3863-2024 artfynd.xlsx", "A 3863-2024")</f>
        <v/>
      </c>
      <c r="W32">
        <f>HYPERLINK("https://klasma.github.io/Logging_0763/kartor/A 3863-2024 karta.png", "A 3863-2024")</f>
        <v/>
      </c>
      <c r="Y32">
        <f>HYPERLINK("https://klasma.github.io/Logging_0763/klagomål/A 3863-2024 FSC-klagomål.docx", "A 3863-2024")</f>
        <v/>
      </c>
      <c r="Z32">
        <f>HYPERLINK("https://klasma.github.io/Logging_0763/klagomålsmail/A 3863-2024 FSC-klagomål mail.docx", "A 3863-2024")</f>
        <v/>
      </c>
      <c r="AA32">
        <f>HYPERLINK("https://klasma.github.io/Logging_0763/tillsyn/A 3863-2024 tillsynsbegäran.docx", "A 3863-2024")</f>
        <v/>
      </c>
      <c r="AB32">
        <f>HYPERLINK("https://klasma.github.io/Logging_0763/tillsynsmail/A 3863-2024 tillsynsbegäran mail.docx", "A 3863-2024")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46218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HYPERLINK("https://klasma.github.io/Logging_0763/artfynd/A 28547-2023 artfynd.xlsx", "A 28547-2023")</f>
        <v/>
      </c>
      <c r="W33">
        <f>HYPERLINK("https://klasma.github.io/Logging_0763/kartor/A 28547-2023 karta.png", "A 28547-2023")</f>
        <v/>
      </c>
      <c r="Y33">
        <f>HYPERLINK("https://klasma.github.io/Logging_0763/klagomål/A 28547-2023 FSC-klagomål.docx", "A 28547-2023")</f>
        <v/>
      </c>
      <c r="Z33">
        <f>HYPERLINK("https://klasma.github.io/Logging_0763/klagomålsmail/A 28547-2023 FSC-klagomål mail.docx", "A 28547-2023")</f>
        <v/>
      </c>
      <c r="AA33">
        <f>HYPERLINK("https://klasma.github.io/Logging_0763/tillsyn/A 28547-2023 tillsynsbegäran.docx", "A 28547-2023")</f>
        <v/>
      </c>
      <c r="AB33">
        <f>HYPERLINK("https://klasma.github.io/Logging_0763/tillsynsmail/A 28547-2023 tillsynsbegäran mail.docx", "A 28547-2023")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46218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HYPERLINK("https://klasma.github.io/Logging_0763/artfynd/A 16141-2024 artfynd.xlsx", "A 16141-2024")</f>
        <v/>
      </c>
      <c r="W34">
        <f>HYPERLINK("https://klasma.github.io/Logging_0763/kartor/A 16141-2024 karta.png", "A 16141-2024")</f>
        <v/>
      </c>
      <c r="Y34">
        <f>HYPERLINK("https://klasma.github.io/Logging_0763/klagomål/A 16141-2024 FSC-klagomål.docx", "A 16141-2024")</f>
        <v/>
      </c>
      <c r="Z34">
        <f>HYPERLINK("https://klasma.github.io/Logging_0763/klagomålsmail/A 16141-2024 FSC-klagomål mail.docx", "A 16141-2024")</f>
        <v/>
      </c>
      <c r="AA34">
        <f>HYPERLINK("https://klasma.github.io/Logging_0763/tillsyn/A 16141-2024 tillsynsbegäran.docx", "A 16141-2024")</f>
        <v/>
      </c>
      <c r="AB34">
        <f>HYPERLINK("https://klasma.github.io/Logging_0763/tillsynsmail/A 16141-2024 tillsynsbegäran mail.docx", "A 16141-2024")</f>
        <v/>
      </c>
    </row>
    <row r="35" ht="15" customHeight="1">
      <c r="A35" t="inlineStr">
        <is>
          <t>A 46020-2024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46218</v>
      </c>
      <c r="F35" t="inlineStr">
        <is>
          <t>KRONOBERGS LÄN</t>
        </is>
      </c>
      <c r="G35" t="inlineStr">
        <is>
          <t>TINGSRYD</t>
        </is>
      </c>
      <c r="I35" t="n">
        <v>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Blåmossa</t>
        </is>
      </c>
      <c r="V35">
        <f>HYPERLINK("https://klasma.github.io/Logging_0763/artfynd/A 46020-2024 artfynd.xlsx", "A 46020-2024")</f>
        <v/>
      </c>
      <c r="W35">
        <f>HYPERLINK("https://klasma.github.io/Logging_0763/kartor/A 46020-2024 karta.png", "A 46020-2024")</f>
        <v/>
      </c>
      <c r="Y35">
        <f>HYPERLINK("https://klasma.github.io/Logging_0763/klagomål/A 46020-2024 FSC-klagomål.docx", "A 46020-2024")</f>
        <v/>
      </c>
      <c r="Z35">
        <f>HYPERLINK("https://klasma.github.io/Logging_0763/klagomålsmail/A 46020-2024 FSC-klagomål mail.docx", "A 46020-2024")</f>
        <v/>
      </c>
      <c r="AA35">
        <f>HYPERLINK("https://klasma.github.io/Logging_0763/tillsyn/A 46020-2024 tillsynsbegäran.docx", "A 46020-2024")</f>
        <v/>
      </c>
      <c r="AB35">
        <f>HYPERLINK("https://klasma.github.io/Logging_0763/tillsynsmail/A 46020-2024 tillsynsbegäran mail.docx", "A 46020-2024")</f>
        <v/>
      </c>
    </row>
    <row r="36" ht="15" customHeight="1">
      <c r="A36" t="inlineStr">
        <is>
          <t>A 58629-2021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44489</v>
      </c>
      <c r="E36" s="1" t="n">
        <v>46218</v>
      </c>
      <c r="F36" t="inlineStr">
        <is>
          <t>KRONOBERGS LÄN</t>
        </is>
      </c>
      <c r="G36" t="inlineStr">
        <is>
          <t>TINGSRYD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Kavelhirs</t>
        </is>
      </c>
      <c r="V36">
        <f>HYPERLINK("https://klasma.github.io/Logging_0763/artfynd/A 58629-2021 artfynd.xlsx", "A 58629-2021")</f>
        <v/>
      </c>
      <c r="W36">
        <f>HYPERLINK("https://klasma.github.io/Logging_0763/kartor/A 58629-2021 karta.png", "A 58629-2021")</f>
        <v/>
      </c>
      <c r="Y36">
        <f>HYPERLINK("https://klasma.github.io/Logging_0763/klagomål/A 58629-2021 FSC-klagomål.docx", "A 58629-2021")</f>
        <v/>
      </c>
      <c r="Z36">
        <f>HYPERLINK("https://klasma.github.io/Logging_0763/klagomålsmail/A 58629-2021 FSC-klagomål mail.docx", "A 58629-2021")</f>
        <v/>
      </c>
      <c r="AA36">
        <f>HYPERLINK("https://klasma.github.io/Logging_0763/tillsyn/A 58629-2021 tillsynsbegäran.docx", "A 58629-2021")</f>
        <v/>
      </c>
      <c r="AB36">
        <f>HYPERLINK("https://klasma.github.io/Logging_0763/tillsynsmail/A 58629-2021 tillsynsbegäran mail.docx", "A 58629-2021")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46218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s="2" t="inlineStr">
        <is>
          <t>Hasselmus</t>
        </is>
      </c>
      <c r="V37">
        <f>HYPERLINK("https://klasma.github.io/Logging_0763/artfynd/A 43004-2023 artfynd.xlsx", "A 43004-2023")</f>
        <v/>
      </c>
      <c r="W37">
        <f>HYPERLINK("https://klasma.github.io/Logging_0763/kartor/A 43004-2023 karta.png", "A 43004-2023")</f>
        <v/>
      </c>
      <c r="Y37">
        <f>HYPERLINK("https://klasma.github.io/Logging_0763/klagomål/A 43004-2023 FSC-klagomål.docx", "A 43004-2023")</f>
        <v/>
      </c>
      <c r="Z37">
        <f>HYPERLINK("https://klasma.github.io/Logging_0763/klagomålsmail/A 43004-2023 FSC-klagomål mail.docx", "A 43004-2023")</f>
        <v/>
      </c>
      <c r="AA37">
        <f>HYPERLINK("https://klasma.github.io/Logging_0763/tillsyn/A 43004-2023 tillsynsbegäran.docx", "A 43004-2023")</f>
        <v/>
      </c>
      <c r="AB37">
        <f>HYPERLINK("https://klasma.github.io/Logging_0763/tillsynsmail/A 43004-2023 tillsynsbegäran mail.docx", "A 43004-2023")</f>
        <v/>
      </c>
    </row>
    <row r="38" ht="15" customHeight="1">
      <c r="A38" t="inlineStr">
        <is>
          <t>A 12875-2023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45001</v>
      </c>
      <c r="E38" s="1" t="n">
        <v>46218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Kandelabersvamp</t>
        </is>
      </c>
      <c r="V38">
        <f>HYPERLINK("https://klasma.github.io/Logging_0763/artfynd/A 12875-2023 artfynd.xlsx", "A 12875-2023")</f>
        <v/>
      </c>
      <c r="W38">
        <f>HYPERLINK("https://klasma.github.io/Logging_0763/kartor/A 12875-2023 karta.png", "A 12875-2023")</f>
        <v/>
      </c>
      <c r="Y38">
        <f>HYPERLINK("https://klasma.github.io/Logging_0763/klagomål/A 12875-2023 FSC-klagomål.docx", "A 12875-2023")</f>
        <v/>
      </c>
      <c r="Z38">
        <f>HYPERLINK("https://klasma.github.io/Logging_0763/klagomålsmail/A 12875-2023 FSC-klagomål mail.docx", "A 12875-2023")</f>
        <v/>
      </c>
      <c r="AA38">
        <f>HYPERLINK("https://klasma.github.io/Logging_0763/tillsyn/A 12875-2023 tillsynsbegäran.docx", "A 12875-2023")</f>
        <v/>
      </c>
      <c r="AB38">
        <f>HYPERLINK("https://klasma.github.io/Logging_0763/tillsynsmail/A 12875-2023 tillsynsbegäran mail.docx", "A 12875-2023")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46218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Mattlummer</t>
        </is>
      </c>
      <c r="V39">
        <f>HYPERLINK("https://klasma.github.io/Logging_0763/artfynd/A 38523-2024 artfynd.xlsx", "A 38523-2024")</f>
        <v/>
      </c>
      <c r="W39">
        <f>HYPERLINK("https://klasma.github.io/Logging_0763/kartor/A 38523-2024 karta.png", "A 38523-2024")</f>
        <v/>
      </c>
      <c r="Y39">
        <f>HYPERLINK("https://klasma.github.io/Logging_0763/klagomål/A 38523-2024 FSC-klagomål.docx", "A 38523-2024")</f>
        <v/>
      </c>
      <c r="Z39">
        <f>HYPERLINK("https://klasma.github.io/Logging_0763/klagomålsmail/A 38523-2024 FSC-klagomål mail.docx", "A 38523-2024")</f>
        <v/>
      </c>
      <c r="AA39">
        <f>HYPERLINK("https://klasma.github.io/Logging_0763/tillsyn/A 38523-2024 tillsynsbegäran.docx", "A 38523-2024")</f>
        <v/>
      </c>
      <c r="AB39">
        <f>HYPERLINK("https://klasma.github.io/Logging_0763/tillsynsmail/A 38523-2024 tillsynsbegäran mail.docx", "A 38523-2024")</f>
        <v/>
      </c>
    </row>
    <row r="40" ht="15" customHeight="1">
      <c r="A40" t="inlineStr">
        <is>
          <t>A 12137-2026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46086</v>
      </c>
      <c r="E40" s="1" t="n">
        <v>46218</v>
      </c>
      <c r="F40" t="inlineStr">
        <is>
          <t>KRONOBERGS LÄN</t>
        </is>
      </c>
      <c r="G40" t="inlineStr">
        <is>
          <t>TINGSRYD</t>
        </is>
      </c>
      <c r="I40" t="n">
        <v>1.9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HYPERLINK("https://klasma.github.io/Logging_0763/artfynd/A 12137-2026 artfynd.xlsx", "A 12137-2026")</f>
        <v/>
      </c>
      <c r="W40">
        <f>HYPERLINK("https://klasma.github.io/Logging_0763/kartor/A 12137-2026 karta.png", "A 12137-2026")</f>
        <v/>
      </c>
      <c r="Y40">
        <f>HYPERLINK("https://klasma.github.io/Logging_0763/klagomål/A 12137-2026 FSC-klagomål.docx", "A 12137-2026")</f>
        <v/>
      </c>
      <c r="Z40">
        <f>HYPERLINK("https://klasma.github.io/Logging_0763/klagomålsmail/A 12137-2026 FSC-klagomål mail.docx", "A 12137-2026")</f>
        <v/>
      </c>
      <c r="AA40">
        <f>HYPERLINK("https://klasma.github.io/Logging_0763/tillsyn/A 12137-2026 tillsynsbegäran.docx", "A 12137-2026")</f>
        <v/>
      </c>
      <c r="AB40">
        <f>HYPERLINK("https://klasma.github.io/Logging_0763/tillsynsmail/A 12137-2026 tillsynsbegäran mail.docx", "A 12137-2026")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46218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Sommarfibbla</t>
        </is>
      </c>
      <c r="V41">
        <f>HYPERLINK("https://klasma.github.io/Logging_0763/artfynd/A 30997-2026 artfynd.xlsx", "A 30997-2026")</f>
        <v/>
      </c>
      <c r="W41">
        <f>HYPERLINK("https://klasma.github.io/Logging_0763/kartor/A 30997-2026 karta.png", "A 30997-2026")</f>
        <v/>
      </c>
      <c r="Y41">
        <f>HYPERLINK("https://klasma.github.io/Logging_0763/klagomål/A 30997-2026 FSC-klagomål.docx", "A 30997-2026")</f>
        <v/>
      </c>
      <c r="Z41">
        <f>HYPERLINK("https://klasma.github.io/Logging_0763/klagomålsmail/A 30997-2026 FSC-klagomål mail.docx", "A 30997-2026")</f>
        <v/>
      </c>
      <c r="AA41">
        <f>HYPERLINK("https://klasma.github.io/Logging_0763/tillsyn/A 30997-2026 tillsynsbegäran.docx", "A 30997-2026")</f>
        <v/>
      </c>
      <c r="AB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46218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46218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46218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46218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46218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46218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46218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46218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46218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46218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46218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46218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46218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46218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46218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46218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46218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46218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46218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46218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46218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46218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46218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46218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39099-2021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44412</v>
      </c>
      <c r="E66" s="1" t="n">
        <v>46218</v>
      </c>
      <c r="F66" t="inlineStr">
        <is>
          <t>KRONOBERGS LÄN</t>
        </is>
      </c>
      <c r="G66" t="inlineStr">
        <is>
          <t>TINGSRYD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46218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46218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46218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38461-2022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44813</v>
      </c>
      <c r="E70" s="1" t="n">
        <v>46218</v>
      </c>
      <c r="F70" t="inlineStr">
        <is>
          <t>KRONOBERGS LÄN</t>
        </is>
      </c>
      <c r="G70" t="inlineStr">
        <is>
          <t>TINGSRYD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46218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46218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69957-2021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46218</v>
      </c>
      <c r="F73" t="inlineStr">
        <is>
          <t>KRONOBERGS LÄN</t>
        </is>
      </c>
      <c r="G73" t="inlineStr">
        <is>
          <t>TINGSRYD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2029-2022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44575</v>
      </c>
      <c r="E74" s="1" t="n">
        <v>46218</v>
      </c>
      <c r="F74" t="inlineStr">
        <is>
          <t>KRONOBERGS LÄN</t>
        </is>
      </c>
      <c r="G74" t="inlineStr">
        <is>
          <t>TINGSRYD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39909-2022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46218</v>
      </c>
      <c r="F75" t="inlineStr">
        <is>
          <t>KRONOBERGS LÄN</t>
        </is>
      </c>
      <c r="G75" t="inlineStr">
        <is>
          <t>TINGSRYD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51294-2021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44461</v>
      </c>
      <c r="E76" s="1" t="n">
        <v>46218</v>
      </c>
      <c r="F76" t="inlineStr">
        <is>
          <t>KRONOBERGS LÄN</t>
        </is>
      </c>
      <c r="G76" t="inlineStr">
        <is>
          <t>TINGSRYD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44570</v>
      </c>
      <c r="E77" s="1" t="n">
        <v>46218</v>
      </c>
      <c r="F77" t="inlineStr">
        <is>
          <t>KRONOBERGS LÄN</t>
        </is>
      </c>
      <c r="G77" t="inlineStr">
        <is>
          <t>TINGSRYD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59724-2021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44494</v>
      </c>
      <c r="E78" s="1" t="n">
        <v>46218</v>
      </c>
      <c r="F78" t="inlineStr">
        <is>
          <t>KRONOBERGS LÄN</t>
        </is>
      </c>
      <c r="G78" t="inlineStr">
        <is>
          <t>TINGSRYD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46725-2021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46218</v>
      </c>
      <c r="F79" t="inlineStr">
        <is>
          <t>KRONOBERGS LÄN</t>
        </is>
      </c>
      <c r="G79" t="inlineStr">
        <is>
          <t>TINGSRYD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46218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46218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46218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46218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46218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46218</v>
      </c>
      <c r="F85" t="inlineStr">
        <is>
          <t>KRONOBERGS LÄN</t>
        </is>
      </c>
      <c r="G85" t="inlineStr">
        <is>
          <t>TINGSRYD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46218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46218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46218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46218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10762-2022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44627</v>
      </c>
      <c r="E90" s="1" t="n">
        <v>46218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46218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46218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46218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46218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46218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46218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46218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46218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46218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46218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46218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46218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46218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53405-2022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46218</v>
      </c>
      <c r="F104" t="inlineStr">
        <is>
          <t>KRONOBERGS LÄN</t>
        </is>
      </c>
      <c r="G104" t="inlineStr">
        <is>
          <t>TINGSRYD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44803-2022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44839</v>
      </c>
      <c r="E105" s="1" t="n">
        <v>46218</v>
      </c>
      <c r="F105" t="inlineStr">
        <is>
          <t>KRONOBERGS LÄN</t>
        </is>
      </c>
      <c r="G105" t="inlineStr">
        <is>
          <t>TINGSRYD</t>
        </is>
      </c>
      <c r="H105" t="inlineStr">
        <is>
          <t>Kyrkan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46218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46218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44532</v>
      </c>
      <c r="E108" s="1" t="n">
        <v>46218</v>
      </c>
      <c r="F108" t="inlineStr">
        <is>
          <t>KRONOBERGS LÄN</t>
        </is>
      </c>
      <c r="G108" t="inlineStr">
        <is>
          <t>TINGSRYD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47399-2021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44447</v>
      </c>
      <c r="E109" s="1" t="n">
        <v>46218</v>
      </c>
      <c r="F109" t="inlineStr">
        <is>
          <t>KRONOBERGS LÄN</t>
        </is>
      </c>
      <c r="G109" t="inlineStr">
        <is>
          <t>TINGSRYD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46218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46218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46218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46218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46218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46218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46218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46218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46218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46218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46218</v>
      </c>
      <c r="F120" t="inlineStr">
        <is>
          <t>KRONOBERGS LÄN</t>
        </is>
      </c>
      <c r="G120" t="inlineStr">
        <is>
          <t>TINGSRYD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46218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46218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46218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46218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46218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46218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46218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46218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46218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46218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46218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46218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46218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46218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46218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53317-2021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44468</v>
      </c>
      <c r="E136" s="1" t="n">
        <v>46218</v>
      </c>
      <c r="F136" t="inlineStr">
        <is>
          <t>KRONOBERGS LÄN</t>
        </is>
      </c>
      <c r="G136" t="inlineStr">
        <is>
          <t>TINGSRYD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9816-2022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46218</v>
      </c>
      <c r="F137" t="inlineStr">
        <is>
          <t>KRONOBERGS LÄN</t>
        </is>
      </c>
      <c r="G137" t="inlineStr">
        <is>
          <t>TINGSRYD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46218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67159-2021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46218</v>
      </c>
      <c r="F139" t="inlineStr">
        <is>
          <t>KRONOBERGS LÄN</t>
        </is>
      </c>
      <c r="G139" t="inlineStr">
        <is>
          <t>TINGSRYD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40593-2021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44420</v>
      </c>
      <c r="E140" s="1" t="n">
        <v>46218</v>
      </c>
      <c r="F140" t="inlineStr">
        <is>
          <t>KRONOBERGS LÄN</t>
        </is>
      </c>
      <c r="G140" t="inlineStr">
        <is>
          <t>TINGSRYD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20114-2022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44698</v>
      </c>
      <c r="E141" s="1" t="n">
        <v>46218</v>
      </c>
      <c r="F141" t="inlineStr">
        <is>
          <t>KRONOBERGS LÄN</t>
        </is>
      </c>
      <c r="G141" t="inlineStr">
        <is>
          <t>TINGSRYD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52024-2021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44463</v>
      </c>
      <c r="E142" s="1" t="n">
        <v>46218</v>
      </c>
      <c r="F142" t="inlineStr">
        <is>
          <t>KRONOBERGS LÄN</t>
        </is>
      </c>
      <c r="G142" t="inlineStr">
        <is>
          <t>TINGSRYD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46519-2021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44445</v>
      </c>
      <c r="E143" s="1" t="n">
        <v>46218</v>
      </c>
      <c r="F143" t="inlineStr">
        <is>
          <t>KRONOBERGS LÄN</t>
        </is>
      </c>
      <c r="G143" t="inlineStr">
        <is>
          <t>TINGSRYD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17689-2022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44680</v>
      </c>
      <c r="E144" s="1" t="n">
        <v>46218</v>
      </c>
      <c r="F144" t="inlineStr">
        <is>
          <t>KRONOBERGS LÄN</t>
        </is>
      </c>
      <c r="G144" t="inlineStr">
        <is>
          <t>TINGSRYD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71397-2021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44540</v>
      </c>
      <c r="E145" s="1" t="n">
        <v>46218</v>
      </c>
      <c r="F145" t="inlineStr">
        <is>
          <t>KRONOBERGS LÄN</t>
        </is>
      </c>
      <c r="G145" t="inlineStr">
        <is>
          <t>TINGSRYD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11628-2022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44631</v>
      </c>
      <c r="E146" s="1" t="n">
        <v>46218</v>
      </c>
      <c r="F146" t="inlineStr">
        <is>
          <t>KRONOBERGS LÄN</t>
        </is>
      </c>
      <c r="G146" t="inlineStr">
        <is>
          <t>TINGSRYD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67158-2021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44523</v>
      </c>
      <c r="E147" s="1" t="n">
        <v>46218</v>
      </c>
      <c r="F147" t="inlineStr">
        <is>
          <t>KRONOBERGS LÄN</t>
        </is>
      </c>
      <c r="G147" t="inlineStr">
        <is>
          <t>TINGSRYD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22242-2022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46218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53759-2022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44875</v>
      </c>
      <c r="E149" s="1" t="n">
        <v>46218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47807-2021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44448</v>
      </c>
      <c r="E150" s="1" t="n">
        <v>46218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46218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20143-2022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44698</v>
      </c>
      <c r="E152" s="1" t="n">
        <v>46218</v>
      </c>
      <c r="F152" t="inlineStr">
        <is>
          <t>KRONOBERGS LÄN</t>
        </is>
      </c>
      <c r="G152" t="inlineStr">
        <is>
          <t>TINGSRYD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18364-2022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46218</v>
      </c>
      <c r="F153" t="inlineStr">
        <is>
          <t>KRONOBERGS LÄN</t>
        </is>
      </c>
      <c r="G153" t="inlineStr">
        <is>
          <t>TINGSRYD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44596</v>
      </c>
      <c r="E154" s="1" t="n">
        <v>46218</v>
      </c>
      <c r="F154" t="inlineStr">
        <is>
          <t>KRONOBERGS LÄN</t>
        </is>
      </c>
      <c r="G154" t="inlineStr">
        <is>
          <t>TINGSRYD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54917-2021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44474</v>
      </c>
      <c r="E155" s="1" t="n">
        <v>46218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59719-2021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46218</v>
      </c>
      <c r="F156" t="inlineStr">
        <is>
          <t>KRONOBERGS LÄN</t>
        </is>
      </c>
      <c r="G156" t="inlineStr">
        <is>
          <t>TINGSRYD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21938-2022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46218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12626-2022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44641</v>
      </c>
      <c r="E158" s="1" t="n">
        <v>46218</v>
      </c>
      <c r="F158" t="inlineStr">
        <is>
          <t>KRONOBERGS LÄN</t>
        </is>
      </c>
      <c r="G158" t="inlineStr">
        <is>
          <t>TINGSRYD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47977-2021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44448</v>
      </c>
      <c r="E159" s="1" t="n">
        <v>46218</v>
      </c>
      <c r="F159" t="inlineStr">
        <is>
          <t>KRONOBERGS LÄN</t>
        </is>
      </c>
      <c r="G159" t="inlineStr">
        <is>
          <t>TINGSRYD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14596-2024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45395</v>
      </c>
      <c r="E160" s="1" t="n">
        <v>46218</v>
      </c>
      <c r="F160" t="inlineStr">
        <is>
          <t>KRONOBERGS LÄN</t>
        </is>
      </c>
      <c r="G160" t="inlineStr">
        <is>
          <t>TINGSRYD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24774-2022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46218</v>
      </c>
      <c r="F161" t="inlineStr">
        <is>
          <t>KRONOBERGS LÄN</t>
        </is>
      </c>
      <c r="G161" t="inlineStr">
        <is>
          <t>TINGSRYD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35661-2023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46218</v>
      </c>
      <c r="F162" t="inlineStr">
        <is>
          <t>KRONOBERGS LÄN</t>
        </is>
      </c>
      <c r="G162" t="inlineStr">
        <is>
          <t>TINGSRYD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23958-2023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46218</v>
      </c>
      <c r="F163" t="inlineStr">
        <is>
          <t>KRONOBERGS LÄN</t>
        </is>
      </c>
      <c r="G163" t="inlineStr">
        <is>
          <t>TINGSRYD</t>
        </is>
      </c>
      <c r="H163" t="inlineStr">
        <is>
          <t>Kyrkan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63448-2023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46218</v>
      </c>
      <c r="F164" t="inlineStr">
        <is>
          <t>KRONOBERGS LÄN</t>
        </is>
      </c>
      <c r="G164" t="inlineStr">
        <is>
          <t>TINGSRYD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44753</v>
      </c>
      <c r="E165" s="1" t="n">
        <v>46218</v>
      </c>
      <c r="F165" t="inlineStr">
        <is>
          <t>KRONOBERGS LÄN</t>
        </is>
      </c>
      <c r="G165" t="inlineStr">
        <is>
          <t>TINGSRYD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71392-2021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46218</v>
      </c>
      <c r="F166" t="inlineStr">
        <is>
          <t>KRONOBERGS LÄN</t>
        </is>
      </c>
      <c r="G166" t="inlineStr">
        <is>
          <t>TINGSRYD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20525-2025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45775</v>
      </c>
      <c r="E167" s="1" t="n">
        <v>46218</v>
      </c>
      <c r="F167" t="inlineStr">
        <is>
          <t>KRONOBERGS LÄN</t>
        </is>
      </c>
      <c r="G167" t="inlineStr">
        <is>
          <t>TINGSRYD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28220-2024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45477</v>
      </c>
      <c r="E168" s="1" t="n">
        <v>46218</v>
      </c>
      <c r="F168" t="inlineStr">
        <is>
          <t>KRONOBERGS LÄN</t>
        </is>
      </c>
      <c r="G168" t="inlineStr">
        <is>
          <t>TINGSRYD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46218</v>
      </c>
      <c r="F169" t="inlineStr">
        <is>
          <t>KRONOBERGS LÄN</t>
        </is>
      </c>
      <c r="G169" t="inlineStr">
        <is>
          <t>TINGSRYD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16931-2022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44676</v>
      </c>
      <c r="E170" s="1" t="n">
        <v>46218</v>
      </c>
      <c r="F170" t="inlineStr">
        <is>
          <t>KRONOBERGS LÄN</t>
        </is>
      </c>
      <c r="G170" t="inlineStr">
        <is>
          <t>TINGSRYD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63820-2021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44509</v>
      </c>
      <c r="E171" s="1" t="n">
        <v>46218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71110-2021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44539</v>
      </c>
      <c r="E172" s="1" t="n">
        <v>46218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39419-2021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44414</v>
      </c>
      <c r="E173" s="1" t="n">
        <v>46218</v>
      </c>
      <c r="F173" t="inlineStr">
        <is>
          <t>KRONOBERGS LÄN</t>
        </is>
      </c>
      <c r="G173" t="inlineStr">
        <is>
          <t>TINGSRYD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46218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11561-2022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44631</v>
      </c>
      <c r="E175" s="1" t="n">
        <v>46218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66829-2021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46218</v>
      </c>
      <c r="F176" t="inlineStr">
        <is>
          <t>KRONOBERGS LÄN</t>
        </is>
      </c>
      <c r="G176" t="inlineStr">
        <is>
          <t>TINGSRYD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69951-2021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46218</v>
      </c>
      <c r="F177" t="inlineStr">
        <is>
          <t>KRONOBERGS LÄN</t>
        </is>
      </c>
      <c r="G177" t="inlineStr">
        <is>
          <t>TINGSRYD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28640-2023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46218</v>
      </c>
      <c r="F178" t="inlineStr">
        <is>
          <t>KRONOBERGS LÄN</t>
        </is>
      </c>
      <c r="G178" t="inlineStr">
        <is>
          <t>TINGSRYD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23830-2022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46218</v>
      </c>
      <c r="F179" t="inlineStr">
        <is>
          <t>KRONOBERGS LÄN</t>
        </is>
      </c>
      <c r="G179" t="inlineStr">
        <is>
          <t>TINGSRYD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6880-2023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44967</v>
      </c>
      <c r="E180" s="1" t="n">
        <v>46218</v>
      </c>
      <c r="F180" t="inlineStr">
        <is>
          <t>KRONOBERGS LÄN</t>
        </is>
      </c>
      <c r="G180" t="inlineStr">
        <is>
          <t>TINGSRYD</t>
        </is>
      </c>
      <c r="H180" t="inlineStr">
        <is>
          <t>Övriga Aktiebolag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46078-2021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44441</v>
      </c>
      <c r="E181" s="1" t="n">
        <v>46218</v>
      </c>
      <c r="F181" t="inlineStr">
        <is>
          <t>KRONOBERGS LÄN</t>
        </is>
      </c>
      <c r="G181" t="inlineStr">
        <is>
          <t>TINGSRYD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46218</v>
      </c>
      <c r="F182" t="inlineStr">
        <is>
          <t>KRONOBERGS LÄN</t>
        </is>
      </c>
      <c r="G182" t="inlineStr">
        <is>
          <t>TINGSRYD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39755-2021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44417</v>
      </c>
      <c r="E183" s="1" t="n">
        <v>46218</v>
      </c>
      <c r="F183" t="inlineStr">
        <is>
          <t>KRONOBERGS LÄN</t>
        </is>
      </c>
      <c r="G183" t="inlineStr">
        <is>
          <t>TINGSRYD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10734-2025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45722</v>
      </c>
      <c r="E184" s="1" t="n">
        <v>46218</v>
      </c>
      <c r="F184" t="inlineStr">
        <is>
          <t>KRONOBERGS LÄN</t>
        </is>
      </c>
      <c r="G184" t="inlineStr">
        <is>
          <t>TINGSRYD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49071-2023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45210</v>
      </c>
      <c r="E185" s="1" t="n">
        <v>46218</v>
      </c>
      <c r="F185" t="inlineStr">
        <is>
          <t>KRONOBERGS LÄN</t>
        </is>
      </c>
      <c r="G185" t="inlineStr">
        <is>
          <t>TINGSRYD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12044-2024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46218</v>
      </c>
      <c r="F186" t="inlineStr">
        <is>
          <t>KRONOBERGS LÄN</t>
        </is>
      </c>
      <c r="G186" t="inlineStr">
        <is>
          <t>TINGSRYD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5616-2023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44960</v>
      </c>
      <c r="E187" s="1" t="n">
        <v>46218</v>
      </c>
      <c r="F187" t="inlineStr">
        <is>
          <t>KRONOBERGS LÄN</t>
        </is>
      </c>
      <c r="G187" t="inlineStr">
        <is>
          <t>TINGSRYD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17026-2022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44676</v>
      </c>
      <c r="E188" s="1" t="n">
        <v>46218</v>
      </c>
      <c r="F188" t="inlineStr">
        <is>
          <t>KRONOBERGS LÄN</t>
        </is>
      </c>
      <c r="G188" t="inlineStr">
        <is>
          <t>TINGSRYD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9791-2022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44620</v>
      </c>
      <c r="E189" s="1" t="n">
        <v>46218</v>
      </c>
      <c r="F189" t="inlineStr">
        <is>
          <t>KRONOBERGS LÄN</t>
        </is>
      </c>
      <c r="G189" t="inlineStr">
        <is>
          <t>TINGSRYD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46218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41144-2024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45559</v>
      </c>
      <c r="E191" s="1" t="n">
        <v>46218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50715-2022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44867</v>
      </c>
      <c r="E192" s="1" t="n">
        <v>46218</v>
      </c>
      <c r="F192" t="inlineStr">
        <is>
          <t>KRONOBERGS LÄN</t>
        </is>
      </c>
      <c r="G192" t="inlineStr">
        <is>
          <t>TINGSRYD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44234-2023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45188</v>
      </c>
      <c r="E193" s="1" t="n">
        <v>46218</v>
      </c>
      <c r="F193" t="inlineStr">
        <is>
          <t>KRONOBERGS LÄN</t>
        </is>
      </c>
      <c r="G193" t="inlineStr">
        <is>
          <t>TINGSRYD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9742-2024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46218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10932-2024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46218</v>
      </c>
      <c r="F195" t="inlineStr">
        <is>
          <t>KRONOBERGS LÄN</t>
        </is>
      </c>
      <c r="G195" t="inlineStr">
        <is>
          <t>TINGSRYD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24774-2022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46218</v>
      </c>
      <c r="F196" t="inlineStr">
        <is>
          <t>KRONOBERGS LÄN</t>
        </is>
      </c>
      <c r="G196" t="inlineStr">
        <is>
          <t>TINGSRYD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24429-2023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46218</v>
      </c>
      <c r="F197" t="inlineStr">
        <is>
          <t>KRONOBERGS LÄN</t>
        </is>
      </c>
      <c r="G197" t="inlineStr">
        <is>
          <t>TINGSRYD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16954-2024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45411</v>
      </c>
      <c r="E198" s="1" t="n">
        <v>46218</v>
      </c>
      <c r="F198" t="inlineStr">
        <is>
          <t>KRONOBERGS LÄN</t>
        </is>
      </c>
      <c r="G198" t="inlineStr">
        <is>
          <t>TINGSRYD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43315-2023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45183</v>
      </c>
      <c r="E199" s="1" t="n">
        <v>46218</v>
      </c>
      <c r="F199" t="inlineStr">
        <is>
          <t>KRONOBERGS LÄN</t>
        </is>
      </c>
      <c r="G199" t="inlineStr">
        <is>
          <t>TINGSRYD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43319-2023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46218</v>
      </c>
      <c r="F200" t="inlineStr">
        <is>
          <t>KRONOBERGS LÄN</t>
        </is>
      </c>
      <c r="G200" t="inlineStr">
        <is>
          <t>TINGSRYD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58199-2023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45250</v>
      </c>
      <c r="E201" s="1" t="n">
        <v>46218</v>
      </c>
      <c r="F201" t="inlineStr">
        <is>
          <t>KRONOBERGS LÄN</t>
        </is>
      </c>
      <c r="G201" t="inlineStr">
        <is>
          <t>TINGSRYD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57989-2024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46218</v>
      </c>
      <c r="F202" t="inlineStr">
        <is>
          <t>KRONOBERGS LÄN</t>
        </is>
      </c>
      <c r="G202" t="inlineStr">
        <is>
          <t>TINGSRYD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41126-2024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45559</v>
      </c>
      <c r="E203" s="1" t="n">
        <v>46218</v>
      </c>
      <c r="F203" t="inlineStr">
        <is>
          <t>KRONOBERGS LÄN</t>
        </is>
      </c>
      <c r="G203" t="inlineStr">
        <is>
          <t>TINGSRYD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58864-2022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44895</v>
      </c>
      <c r="E204" s="1" t="n">
        <v>46218</v>
      </c>
      <c r="F204" t="inlineStr">
        <is>
          <t>KRONOBERGS LÄN</t>
        </is>
      </c>
      <c r="G204" t="inlineStr">
        <is>
          <t>TINGSRYD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58781-2021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46218</v>
      </c>
      <c r="F205" t="inlineStr">
        <is>
          <t>KRONOBERGS LÄN</t>
        </is>
      </c>
      <c r="G205" t="inlineStr">
        <is>
          <t>TINGSRYD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62222-2023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45267</v>
      </c>
      <c r="E206" s="1" t="n">
        <v>46218</v>
      </c>
      <c r="F206" t="inlineStr">
        <is>
          <t>KRONOBERGS LÄN</t>
        </is>
      </c>
      <c r="G206" t="inlineStr">
        <is>
          <t>TINGSRYD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4838-2024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45329</v>
      </c>
      <c r="E207" s="1" t="n">
        <v>46218</v>
      </c>
      <c r="F207" t="inlineStr">
        <is>
          <t>KRONOBERGS LÄN</t>
        </is>
      </c>
      <c r="G207" t="inlineStr">
        <is>
          <t>TINGSRYD</t>
        </is>
      </c>
      <c r="H207" t="inlineStr">
        <is>
          <t>Kommuner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27685-2024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46218</v>
      </c>
      <c r="F208" t="inlineStr">
        <is>
          <t>KRONOBERGS LÄN</t>
        </is>
      </c>
      <c r="G208" t="inlineStr">
        <is>
          <t>TINGSRYD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45329</v>
      </c>
      <c r="E209" s="1" t="n">
        <v>46218</v>
      </c>
      <c r="F209" t="inlineStr">
        <is>
          <t>KRONOBERGS LÄN</t>
        </is>
      </c>
      <c r="G209" t="inlineStr">
        <is>
          <t>TINGSRYD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11587-2022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44631</v>
      </c>
      <c r="E210" s="1" t="n">
        <v>46218</v>
      </c>
      <c r="F210" t="inlineStr">
        <is>
          <t>KRONOBERGS LÄN</t>
        </is>
      </c>
      <c r="G210" t="inlineStr">
        <is>
          <t>TINGSRYD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16144-2024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45406</v>
      </c>
      <c r="E211" s="1" t="n">
        <v>46218</v>
      </c>
      <c r="F211" t="inlineStr">
        <is>
          <t>KRONOBERGS LÄN</t>
        </is>
      </c>
      <c r="G211" t="inlineStr">
        <is>
          <t>TINGSRYD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42315-2023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46218</v>
      </c>
      <c r="F212" t="inlineStr">
        <is>
          <t>KRONOBERGS LÄN</t>
        </is>
      </c>
      <c r="G212" t="inlineStr">
        <is>
          <t>TINGSRYD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44964</v>
      </c>
      <c r="E213" s="1" t="n">
        <v>46218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46927-2021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44446</v>
      </c>
      <c r="E214" s="1" t="n">
        <v>46218</v>
      </c>
      <c r="F214" t="inlineStr">
        <is>
          <t>KRONOBERGS LÄN</t>
        </is>
      </c>
      <c r="G214" t="inlineStr">
        <is>
          <t>TINGSRYD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44492-2021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44435</v>
      </c>
      <c r="E215" s="1" t="n">
        <v>46218</v>
      </c>
      <c r="F215" t="inlineStr">
        <is>
          <t>KRONOBERGS LÄN</t>
        </is>
      </c>
      <c r="G215" t="inlineStr">
        <is>
          <t>TINGSRYD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41124-2024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45559</v>
      </c>
      <c r="E216" s="1" t="n">
        <v>46218</v>
      </c>
      <c r="F216" t="inlineStr">
        <is>
          <t>KRONOBERGS LÄN</t>
        </is>
      </c>
      <c r="G216" t="inlineStr">
        <is>
          <t>TINGSRYD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60744-2023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46218</v>
      </c>
      <c r="F217" t="inlineStr">
        <is>
          <t>KRONOBERGS LÄN</t>
        </is>
      </c>
      <c r="G217" t="inlineStr">
        <is>
          <t>TINGSRYD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46218</v>
      </c>
      <c r="F218" t="inlineStr">
        <is>
          <t>KRONOBERGS LÄN</t>
        </is>
      </c>
      <c r="G218" t="inlineStr">
        <is>
          <t>TINGSRYD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7089-2023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46218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55994-2023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45240</v>
      </c>
      <c r="E220" s="1" t="n">
        <v>46218</v>
      </c>
      <c r="F220" t="inlineStr">
        <is>
          <t>KRONOBERGS LÄN</t>
        </is>
      </c>
      <c r="G220" t="inlineStr">
        <is>
          <t>TINGSRYD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29739-2023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46218</v>
      </c>
      <c r="F221" t="inlineStr">
        <is>
          <t>KRONOBERGS LÄN</t>
        </is>
      </c>
      <c r="G221" t="inlineStr">
        <is>
          <t>TINGSRYD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19786-2024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45432</v>
      </c>
      <c r="E222" s="1" t="n">
        <v>46218</v>
      </c>
      <c r="F222" t="inlineStr">
        <is>
          <t>KRONOBERGS LÄN</t>
        </is>
      </c>
      <c r="G222" t="inlineStr">
        <is>
          <t>TINGSRYD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26183-2023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46218</v>
      </c>
      <c r="F223" t="inlineStr">
        <is>
          <t>KRONOBERGS LÄN</t>
        </is>
      </c>
      <c r="G223" t="inlineStr">
        <is>
          <t>TINGSRYD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38595-2024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46218</v>
      </c>
      <c r="F224" t="inlineStr">
        <is>
          <t>KRONOBERGS LÄN</t>
        </is>
      </c>
      <c r="G224" t="inlineStr">
        <is>
          <t>TINGSRYD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46218</v>
      </c>
      <c r="F225" t="inlineStr">
        <is>
          <t>KRONOBERGS LÄN</t>
        </is>
      </c>
      <c r="G225" t="inlineStr">
        <is>
          <t>TINGSRYD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61447-2023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45264</v>
      </c>
      <c r="E226" s="1" t="n">
        <v>46218</v>
      </c>
      <c r="F226" t="inlineStr">
        <is>
          <t>KRONOBERGS LÄN</t>
        </is>
      </c>
      <c r="G226" t="inlineStr">
        <is>
          <t>TINGSRYD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30056-2023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46218</v>
      </c>
      <c r="F227" t="inlineStr">
        <is>
          <t>KRONOBERGS LÄN</t>
        </is>
      </c>
      <c r="G227" t="inlineStr">
        <is>
          <t>TINGSRYD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54636-2024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45617</v>
      </c>
      <c r="E228" s="1" t="n">
        <v>46218</v>
      </c>
      <c r="F228" t="inlineStr">
        <is>
          <t>KRONOBERGS LÄN</t>
        </is>
      </c>
      <c r="G228" t="inlineStr">
        <is>
          <t>TINGSRYD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11559-2022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44631</v>
      </c>
      <c r="E229" s="1" t="n">
        <v>46218</v>
      </c>
      <c r="F229" t="inlineStr">
        <is>
          <t>KRONOBERGS LÄN</t>
        </is>
      </c>
      <c r="G229" t="inlineStr">
        <is>
          <t>TINGSRYD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49250-2021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44454</v>
      </c>
      <c r="E230" s="1" t="n">
        <v>46218</v>
      </c>
      <c r="F230" t="inlineStr">
        <is>
          <t>KRONOBERGS LÄN</t>
        </is>
      </c>
      <c r="G230" t="inlineStr">
        <is>
          <t>TINGSRYD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15132-2024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46218</v>
      </c>
      <c r="F231" t="inlineStr">
        <is>
          <t>KRONOBERGS LÄN</t>
        </is>
      </c>
      <c r="G231" t="inlineStr">
        <is>
          <t>TINGSRYD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46218</v>
      </c>
      <c r="F232" t="inlineStr">
        <is>
          <t>KRONOBERGS LÄN</t>
        </is>
      </c>
      <c r="G232" t="inlineStr">
        <is>
          <t>TINGSRYD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1364-2023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46218</v>
      </c>
      <c r="F233" t="inlineStr">
        <is>
          <t>KRONOBERGS LÄN</t>
        </is>
      </c>
      <c r="G233" t="inlineStr">
        <is>
          <t>TINGSRYD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20130-2022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44698</v>
      </c>
      <c r="E234" s="1" t="n">
        <v>46218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45310</v>
      </c>
      <c r="E235" s="1" t="n">
        <v>46218</v>
      </c>
      <c r="F235" t="inlineStr">
        <is>
          <t>KRONOBERGS LÄN</t>
        </is>
      </c>
      <c r="G235" t="inlineStr">
        <is>
          <t>TINGSRYD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10881-2022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46218</v>
      </c>
      <c r="F236" t="inlineStr">
        <is>
          <t>KRONOBERGS LÄN</t>
        </is>
      </c>
      <c r="G236" t="inlineStr">
        <is>
          <t>TINGSRYD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58571-2024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46218</v>
      </c>
      <c r="F237" t="inlineStr">
        <is>
          <t>KRONOBERGS LÄN</t>
        </is>
      </c>
      <c r="G237" t="inlineStr">
        <is>
          <t>TINGSRYD</t>
        </is>
      </c>
      <c r="H237" t="inlineStr">
        <is>
          <t>Övriga Aktiebolag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25290-2023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45086</v>
      </c>
      <c r="E238" s="1" t="n">
        <v>46218</v>
      </c>
      <c r="F238" t="inlineStr">
        <is>
          <t>KRONOBERGS LÄN</t>
        </is>
      </c>
      <c r="G238" t="inlineStr">
        <is>
          <t>TINGSRYD</t>
        </is>
      </c>
      <c r="I238" t="n">
        <v>4.4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10856-2023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44991</v>
      </c>
      <c r="E239" s="1" t="n">
        <v>46218</v>
      </c>
      <c r="F239" t="inlineStr">
        <is>
          <t>KRONOBERGS LÄN</t>
        </is>
      </c>
      <c r="G239" t="inlineStr">
        <is>
          <t>TINGSRYD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11533-2025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46218</v>
      </c>
      <c r="F240" t="inlineStr">
        <is>
          <t>KRONOBERGS LÄN</t>
        </is>
      </c>
      <c r="G240" t="inlineStr">
        <is>
          <t>TINGSRYD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46218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47393-2022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44852</v>
      </c>
      <c r="E242" s="1" t="n">
        <v>46218</v>
      </c>
      <c r="F242" t="inlineStr">
        <is>
          <t>KRONOBERGS LÄN</t>
        </is>
      </c>
      <c r="G242" t="inlineStr">
        <is>
          <t>TINGSRYD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44492-2021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44435</v>
      </c>
      <c r="E243" s="1" t="n">
        <v>46218</v>
      </c>
      <c r="F243" t="inlineStr">
        <is>
          <t>KRONOBERGS LÄN</t>
        </is>
      </c>
      <c r="G243" t="inlineStr">
        <is>
          <t>TINGSRYD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44839-2024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46218</v>
      </c>
      <c r="F244" t="inlineStr">
        <is>
          <t>KRONOBERGS LÄN</t>
        </is>
      </c>
      <c r="G244" t="inlineStr">
        <is>
          <t>TINGSRYD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25989-2024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45467</v>
      </c>
      <c r="E245" s="1" t="n">
        <v>46218</v>
      </c>
      <c r="F245" t="inlineStr">
        <is>
          <t>KRONOBERGS LÄN</t>
        </is>
      </c>
      <c r="G245" t="inlineStr">
        <is>
          <t>TINGSRYD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25992-2024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45467</v>
      </c>
      <c r="E246" s="1" t="n">
        <v>46218</v>
      </c>
      <c r="F246" t="inlineStr">
        <is>
          <t>KRONOBERGS LÄN</t>
        </is>
      </c>
      <c r="G246" t="inlineStr">
        <is>
          <t>TINGSRYD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25993-2024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45467</v>
      </c>
      <c r="E247" s="1" t="n">
        <v>46218</v>
      </c>
      <c r="F247" t="inlineStr">
        <is>
          <t>KRONOBERGS LÄN</t>
        </is>
      </c>
      <c r="G247" t="inlineStr">
        <is>
          <t>TINGSRYD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46218</v>
      </c>
      <c r="F248" t="inlineStr">
        <is>
          <t>KRONOBERGS LÄN</t>
        </is>
      </c>
      <c r="G248" t="inlineStr">
        <is>
          <t>TINGSRYD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17065-2023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45034</v>
      </c>
      <c r="E249" s="1" t="n">
        <v>46218</v>
      </c>
      <c r="F249" t="inlineStr">
        <is>
          <t>KRONOBERGS LÄN</t>
        </is>
      </c>
      <c r="G249" t="inlineStr">
        <is>
          <t>TINGSRYD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59089-2024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46218</v>
      </c>
      <c r="F250" t="inlineStr">
        <is>
          <t>KRONOBERGS LÄN</t>
        </is>
      </c>
      <c r="G250" t="inlineStr">
        <is>
          <t>TINGSRYD</t>
        </is>
      </c>
      <c r="H250" t="inlineStr">
        <is>
          <t>Övriga Aktiebolag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6930-2022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44602</v>
      </c>
      <c r="E251" s="1" t="n">
        <v>46218</v>
      </c>
      <c r="F251" t="inlineStr">
        <is>
          <t>KRONOBERGS LÄN</t>
        </is>
      </c>
      <c r="G251" t="inlineStr">
        <is>
          <t>TINGSRYD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25594-2023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46218</v>
      </c>
      <c r="F252" t="inlineStr">
        <is>
          <t>KRONOBERGS LÄN</t>
        </is>
      </c>
      <c r="G252" t="inlineStr">
        <is>
          <t>TINGSRYD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26221-2023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45091</v>
      </c>
      <c r="E253" s="1" t="n">
        <v>46218</v>
      </c>
      <c r="F253" t="inlineStr">
        <is>
          <t>KRONOBERGS LÄN</t>
        </is>
      </c>
      <c r="G253" t="inlineStr">
        <is>
          <t>TINGSRYD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41768-2023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46218</v>
      </c>
      <c r="F254" t="inlineStr">
        <is>
          <t>KRONOBERGS LÄN</t>
        </is>
      </c>
      <c r="G254" t="inlineStr">
        <is>
          <t>TINGSRYD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59169-2022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44904</v>
      </c>
      <c r="E255" s="1" t="n">
        <v>46218</v>
      </c>
      <c r="F255" t="inlineStr">
        <is>
          <t>KRONOBERGS LÄN</t>
        </is>
      </c>
      <c r="G255" t="inlineStr">
        <is>
          <t>TINGSRYD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19765-2023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45051</v>
      </c>
      <c r="E256" s="1" t="n">
        <v>46218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7408-2023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44971</v>
      </c>
      <c r="E257" s="1" t="n">
        <v>46218</v>
      </c>
      <c r="F257" t="inlineStr">
        <is>
          <t>KRONOBERGS LÄN</t>
        </is>
      </c>
      <c r="G257" t="inlineStr">
        <is>
          <t>TINGSRYD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45117</v>
      </c>
      <c r="E258" s="1" t="n">
        <v>46218</v>
      </c>
      <c r="F258" t="inlineStr">
        <is>
          <t>KRONOBERGS LÄN</t>
        </is>
      </c>
      <c r="G258" t="inlineStr">
        <is>
          <t>TINGSRYD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45117</v>
      </c>
      <c r="E259" s="1" t="n">
        <v>46218</v>
      </c>
      <c r="F259" t="inlineStr">
        <is>
          <t>KRONOBERGS LÄN</t>
        </is>
      </c>
      <c r="G259" t="inlineStr">
        <is>
          <t>TINGSRYD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16854-2023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45033</v>
      </c>
      <c r="E260" s="1" t="n">
        <v>46218</v>
      </c>
      <c r="F260" t="inlineStr">
        <is>
          <t>KRONOBERGS LÄN</t>
        </is>
      </c>
      <c r="G260" t="inlineStr">
        <is>
          <t>TINGSRYD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24390-2023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46218</v>
      </c>
      <c r="F261" t="inlineStr">
        <is>
          <t>KRONOBERGS LÄN</t>
        </is>
      </c>
      <c r="G261" t="inlineStr">
        <is>
          <t>TINGSRYD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24395-2023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45082</v>
      </c>
      <c r="E262" s="1" t="n">
        <v>46218</v>
      </c>
      <c r="F262" t="inlineStr">
        <is>
          <t>KRONOBERGS LÄN</t>
        </is>
      </c>
      <c r="G262" t="inlineStr">
        <is>
          <t>TINGSRYD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45443</v>
      </c>
      <c r="E263" s="1" t="n">
        <v>46218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61658-2024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45646</v>
      </c>
      <c r="E264" s="1" t="n">
        <v>46218</v>
      </c>
      <c r="F264" t="inlineStr">
        <is>
          <t>KRONOBERGS LÄN</t>
        </is>
      </c>
      <c r="G264" t="inlineStr">
        <is>
          <t>TINGSRYD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18432-2022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44685</v>
      </c>
      <c r="E265" s="1" t="n">
        <v>46218</v>
      </c>
      <c r="F265" t="inlineStr">
        <is>
          <t>KRONOBERGS LÄN</t>
        </is>
      </c>
      <c r="G265" t="inlineStr">
        <is>
          <t>TINGSRYD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18435-2022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44685</v>
      </c>
      <c r="E266" s="1" t="n">
        <v>46218</v>
      </c>
      <c r="F266" t="inlineStr">
        <is>
          <t>KRONOBERGS LÄN</t>
        </is>
      </c>
      <c r="G266" t="inlineStr">
        <is>
          <t>TINGSRYD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44299-2023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45188</v>
      </c>
      <c r="E267" s="1" t="n">
        <v>46218</v>
      </c>
      <c r="F267" t="inlineStr">
        <is>
          <t>KRONOBERGS LÄN</t>
        </is>
      </c>
      <c r="G267" t="inlineStr">
        <is>
          <t>TINGSRYD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11724-2022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44634</v>
      </c>
      <c r="E268" s="1" t="n">
        <v>46218</v>
      </c>
      <c r="F268" t="inlineStr">
        <is>
          <t>KRONOBERGS LÄN</t>
        </is>
      </c>
      <c r="G268" t="inlineStr">
        <is>
          <t>TINGSRYD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42111-2025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46218</v>
      </c>
      <c r="F269" t="inlineStr">
        <is>
          <t>KRONOBERGS LÄN</t>
        </is>
      </c>
      <c r="G269" t="inlineStr">
        <is>
          <t>TINGSRYD</t>
        </is>
      </c>
      <c r="H269" t="inlineStr">
        <is>
          <t>Kommuner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17346-2023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46218</v>
      </c>
      <c r="F270" t="inlineStr">
        <is>
          <t>KRONOBERGS LÄN</t>
        </is>
      </c>
      <c r="G270" t="inlineStr">
        <is>
          <t>TINGSRYD</t>
        </is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42598-2025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46218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45303</v>
      </c>
      <c r="E272" s="1" t="n">
        <v>46218</v>
      </c>
      <c r="F272" t="inlineStr">
        <is>
          <t>KRONOBERGS LÄN</t>
        </is>
      </c>
      <c r="G272" t="inlineStr">
        <is>
          <t>TINGSRYD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45035</v>
      </c>
      <c r="E273" s="1" t="n">
        <v>46218</v>
      </c>
      <c r="F273" t="inlineStr">
        <is>
          <t>KRONOBERGS LÄN</t>
        </is>
      </c>
      <c r="G273" t="inlineStr">
        <is>
          <t>TINGSRYD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51652-2021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44462</v>
      </c>
      <c r="E274" s="1" t="n">
        <v>46218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23530-2025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46218</v>
      </c>
      <c r="F275" t="inlineStr">
        <is>
          <t>KRONOBERGS LÄN</t>
        </is>
      </c>
      <c r="G275" t="inlineStr">
        <is>
          <t>TINGSRYD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22576-2025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46218</v>
      </c>
      <c r="F276" t="inlineStr">
        <is>
          <t>KRONOBERGS LÄN</t>
        </is>
      </c>
      <c r="G276" t="inlineStr">
        <is>
          <t>TINGSRYD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3332-2023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44949</v>
      </c>
      <c r="E277" s="1" t="n">
        <v>46218</v>
      </c>
      <c r="F277" t="inlineStr">
        <is>
          <t>KRONOBERGS LÄN</t>
        </is>
      </c>
      <c r="G277" t="inlineStr">
        <is>
          <t>TINGSRYD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42858-2025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46218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40057-2024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45553</v>
      </c>
      <c r="E279" s="1" t="n">
        <v>46218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29898-2023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46218</v>
      </c>
      <c r="F280" t="inlineStr">
        <is>
          <t>KRONOBERGS LÄN</t>
        </is>
      </c>
      <c r="G280" t="inlineStr">
        <is>
          <t>TINGSRYD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34209-2023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45138</v>
      </c>
      <c r="E281" s="1" t="n">
        <v>46218</v>
      </c>
      <c r="F281" t="inlineStr">
        <is>
          <t>KRONOBERGS LÄN</t>
        </is>
      </c>
      <c r="G281" t="inlineStr">
        <is>
          <t>TINGSRYD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9822-2023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44984</v>
      </c>
      <c r="E282" s="1" t="n">
        <v>46218</v>
      </c>
      <c r="F282" t="inlineStr">
        <is>
          <t>KRONOBERGS LÄN</t>
        </is>
      </c>
      <c r="G282" t="inlineStr">
        <is>
          <t>TINGSRYD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22153-2024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45445</v>
      </c>
      <c r="E283" s="1" t="n">
        <v>46218</v>
      </c>
      <c r="F283" t="inlineStr">
        <is>
          <t>KRONOBERGS LÄN</t>
        </is>
      </c>
      <c r="G283" t="inlineStr">
        <is>
          <t>TINGSRYD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41143-2024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46218</v>
      </c>
      <c r="F284" t="inlineStr">
        <is>
          <t>KRONOBERGS LÄN</t>
        </is>
      </c>
      <c r="G284" t="inlineStr">
        <is>
          <t>TINGSRYD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21254-2023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45062</v>
      </c>
      <c r="E285" s="1" t="n">
        <v>46218</v>
      </c>
      <c r="F285" t="inlineStr">
        <is>
          <t>KRONOBERGS LÄN</t>
        </is>
      </c>
      <c r="G285" t="inlineStr">
        <is>
          <t>TINGSRYD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72447-2021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44545</v>
      </c>
      <c r="E286" s="1" t="n">
        <v>46218</v>
      </c>
      <c r="F286" t="inlineStr">
        <is>
          <t>KRONOBERGS LÄN</t>
        </is>
      </c>
      <c r="G286" t="inlineStr">
        <is>
          <t>TINGSRYD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22171-2022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46218</v>
      </c>
      <c r="F287" t="inlineStr">
        <is>
          <t>KRONOBERGS LÄN</t>
        </is>
      </c>
      <c r="G287" t="inlineStr">
        <is>
          <t>TINGSRYD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6837-2024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46218</v>
      </c>
      <c r="F288" t="inlineStr">
        <is>
          <t>KRONOBERGS LÄN</t>
        </is>
      </c>
      <c r="G288" t="inlineStr">
        <is>
          <t>TINGSRYD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41774-2023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45176</v>
      </c>
      <c r="E289" s="1" t="n">
        <v>46218</v>
      </c>
      <c r="F289" t="inlineStr">
        <is>
          <t>KRONOBERGS LÄN</t>
        </is>
      </c>
      <c r="G289" t="inlineStr">
        <is>
          <t>TINGSRYD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71388-2021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44540</v>
      </c>
      <c r="E290" s="1" t="n">
        <v>46218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44991</v>
      </c>
      <c r="E291" s="1" t="n">
        <v>46218</v>
      </c>
      <c r="F291" t="inlineStr">
        <is>
          <t>KRONOBERGS LÄN</t>
        </is>
      </c>
      <c r="G291" t="inlineStr">
        <is>
          <t>TINGSRYD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58941-2023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46218</v>
      </c>
      <c r="F292" t="inlineStr">
        <is>
          <t>KRONOBERGS LÄN</t>
        </is>
      </c>
      <c r="G292" t="inlineStr">
        <is>
          <t>TINGSRYD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58962-2023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46218</v>
      </c>
      <c r="F293" t="inlineStr">
        <is>
          <t>KRONOBERGS LÄN</t>
        </is>
      </c>
      <c r="G293" t="inlineStr">
        <is>
          <t>TINGSRYD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5292-2024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45331</v>
      </c>
      <c r="E294" s="1" t="n">
        <v>46218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45331</v>
      </c>
      <c r="E295" s="1" t="n">
        <v>46218</v>
      </c>
      <c r="F295" t="inlineStr">
        <is>
          <t>KRONOBERGS LÄN</t>
        </is>
      </c>
      <c r="G295" t="inlineStr">
        <is>
          <t>TINGSRYD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5294-2024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45331</v>
      </c>
      <c r="E296" s="1" t="n">
        <v>46218</v>
      </c>
      <c r="F296" t="inlineStr">
        <is>
          <t>KRONOBERGS LÄN</t>
        </is>
      </c>
      <c r="G296" t="inlineStr">
        <is>
          <t>TINGSRYD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60539-2022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44904</v>
      </c>
      <c r="E297" s="1" t="n">
        <v>46218</v>
      </c>
      <c r="F297" t="inlineStr">
        <is>
          <t>KRONOBERGS LÄN</t>
        </is>
      </c>
      <c r="G297" t="inlineStr">
        <is>
          <t>TINGSRYD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44967</v>
      </c>
      <c r="E298" s="1" t="n">
        <v>46218</v>
      </c>
      <c r="F298" t="inlineStr">
        <is>
          <t>KRONOBERGS LÄN</t>
        </is>
      </c>
      <c r="G298" t="inlineStr">
        <is>
          <t>TINGSRYD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21161-2023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46218</v>
      </c>
      <c r="F299" t="inlineStr">
        <is>
          <t>KRONOBERGS LÄN</t>
        </is>
      </c>
      <c r="G299" t="inlineStr">
        <is>
          <t>TINGSRYD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44964</v>
      </c>
      <c r="E300" s="1" t="n">
        <v>46218</v>
      </c>
      <c r="F300" t="inlineStr">
        <is>
          <t>KRONOBERGS LÄN</t>
        </is>
      </c>
      <c r="G300" t="inlineStr">
        <is>
          <t>TINGSRYD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6937-2025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46218</v>
      </c>
      <c r="F301" t="inlineStr">
        <is>
          <t>KRONOBERGS LÄN</t>
        </is>
      </c>
      <c r="G301" t="inlineStr">
        <is>
          <t>TINGSRYD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15391-2023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45019</v>
      </c>
      <c r="E302" s="1" t="n">
        <v>46218</v>
      </c>
      <c r="F302" t="inlineStr">
        <is>
          <t>KRONOBERGS LÄN</t>
        </is>
      </c>
      <c r="G302" t="inlineStr">
        <is>
          <t>TINGSRYD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14636-2023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45012</v>
      </c>
      <c r="E303" s="1" t="n">
        <v>46218</v>
      </c>
      <c r="F303" t="inlineStr">
        <is>
          <t>KRONOBERGS LÄN</t>
        </is>
      </c>
      <c r="G303" t="inlineStr">
        <is>
          <t>TINGSRYD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60545-2022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44904</v>
      </c>
      <c r="E304" s="1" t="n">
        <v>46218</v>
      </c>
      <c r="F304" t="inlineStr">
        <is>
          <t>KRONOBERGS LÄN</t>
        </is>
      </c>
      <c r="G304" t="inlineStr">
        <is>
          <t>TINGSRYD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13342-2023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46218</v>
      </c>
      <c r="F305" t="inlineStr">
        <is>
          <t>KRONOBERGS LÄN</t>
        </is>
      </c>
      <c r="G305" t="inlineStr">
        <is>
          <t>TINGSRYD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45306</v>
      </c>
      <c r="E306" s="1" t="n">
        <v>46218</v>
      </c>
      <c r="F306" t="inlineStr">
        <is>
          <t>KRONOBERGS LÄN</t>
        </is>
      </c>
      <c r="G306" t="inlineStr">
        <is>
          <t>TINGSRYD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38476-2023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46218</v>
      </c>
      <c r="F307" t="inlineStr">
        <is>
          <t>KRONOBERGS LÄN</t>
        </is>
      </c>
      <c r="G307" t="inlineStr">
        <is>
          <t>TINGSRYD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54466-2021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46218</v>
      </c>
      <c r="F308" t="inlineStr">
        <is>
          <t>KRONOBERGS LÄN</t>
        </is>
      </c>
      <c r="G308" t="inlineStr">
        <is>
          <t>TINGSRYD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7176-2024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45344</v>
      </c>
      <c r="E309" s="1" t="n">
        <v>46218</v>
      </c>
      <c r="F309" t="inlineStr">
        <is>
          <t>KRONOBERGS LÄN</t>
        </is>
      </c>
      <c r="G309" t="inlineStr">
        <is>
          <t>TINGSRYD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16992-2024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45412</v>
      </c>
      <c r="E310" s="1" t="n">
        <v>46218</v>
      </c>
      <c r="F310" t="inlineStr">
        <is>
          <t>KRONOBERGS LÄN</t>
        </is>
      </c>
      <c r="G310" t="inlineStr">
        <is>
          <t>TINGSRYD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9452-2024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45359</v>
      </c>
      <c r="E311" s="1" t="n">
        <v>46218</v>
      </c>
      <c r="F311" t="inlineStr">
        <is>
          <t>KRONOBERGS LÄN</t>
        </is>
      </c>
      <c r="G311" t="inlineStr">
        <is>
          <t>TINGSRYD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60069-2022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46218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46218</v>
      </c>
      <c r="F313" t="inlineStr">
        <is>
          <t>KRONOBERGS LÄN</t>
        </is>
      </c>
      <c r="G313" t="inlineStr">
        <is>
          <t>TINGSRYD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33351-2023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45117</v>
      </c>
      <c r="E314" s="1" t="n">
        <v>46218</v>
      </c>
      <c r="F314" t="inlineStr">
        <is>
          <t>KRONOBERGS LÄN</t>
        </is>
      </c>
      <c r="G314" t="inlineStr">
        <is>
          <t>TINGSRYD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14934-2022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44657</v>
      </c>
      <c r="E315" s="1" t="n">
        <v>46218</v>
      </c>
      <c r="F315" t="inlineStr">
        <is>
          <t>KRONOBERGS LÄN</t>
        </is>
      </c>
      <c r="G315" t="inlineStr">
        <is>
          <t>TINGSRYD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49352-2023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46218</v>
      </c>
      <c r="F316" t="inlineStr">
        <is>
          <t>KRONOBERGS LÄN</t>
        </is>
      </c>
      <c r="G316" t="inlineStr">
        <is>
          <t>TINGSRYD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45303</v>
      </c>
      <c r="E317" s="1" t="n">
        <v>46218</v>
      </c>
      <c r="F317" t="inlineStr">
        <is>
          <t>KRONOBERGS LÄN</t>
        </is>
      </c>
      <c r="G317" t="inlineStr">
        <is>
          <t>TINGSRYD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46218</v>
      </c>
      <c r="F318" t="inlineStr">
        <is>
          <t>KRONOBERGS LÄN</t>
        </is>
      </c>
      <c r="G318" t="inlineStr">
        <is>
          <t>TINGSRYD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39994-2024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46218</v>
      </c>
      <c r="F319" t="inlineStr">
        <is>
          <t>KRONOBERGS LÄN</t>
        </is>
      </c>
      <c r="G319" t="inlineStr">
        <is>
          <t>TINGSRYD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37130-2023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45155</v>
      </c>
      <c r="E320" s="1" t="n">
        <v>46218</v>
      </c>
      <c r="F320" t="inlineStr">
        <is>
          <t>KRONOBERGS LÄN</t>
        </is>
      </c>
      <c r="G320" t="inlineStr">
        <is>
          <t>TINGSRYD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7589-2023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44972</v>
      </c>
      <c r="E321" s="1" t="n">
        <v>46218</v>
      </c>
      <c r="F321" t="inlineStr">
        <is>
          <t>KRONOBERGS LÄN</t>
        </is>
      </c>
      <c r="G321" t="inlineStr">
        <is>
          <t>TINGSRYD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30016-2023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46218</v>
      </c>
      <c r="F322" t="inlineStr">
        <is>
          <t>KRONOBERGS LÄN</t>
        </is>
      </c>
      <c r="G322" t="inlineStr">
        <is>
          <t>TINGSRYD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33817-2022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44790</v>
      </c>
      <c r="E323" s="1" t="n">
        <v>46218</v>
      </c>
      <c r="F323" t="inlineStr">
        <is>
          <t>KRONOBERGS LÄN</t>
        </is>
      </c>
      <c r="G323" t="inlineStr">
        <is>
          <t>TINGSRYD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46218</v>
      </c>
      <c r="F324" t="inlineStr">
        <is>
          <t>KRONOBERGS LÄN</t>
        </is>
      </c>
      <c r="G324" t="inlineStr">
        <is>
          <t>TINGSRYD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45896-2025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45923</v>
      </c>
      <c r="E325" s="1" t="n">
        <v>46218</v>
      </c>
      <c r="F325" t="inlineStr">
        <is>
          <t>KRONOBERGS LÄN</t>
        </is>
      </c>
      <c r="G325" t="inlineStr">
        <is>
          <t>TINGSRYD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45890-2025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45923</v>
      </c>
      <c r="E326" s="1" t="n">
        <v>46218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22648-2023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45071</v>
      </c>
      <c r="E327" s="1" t="n">
        <v>46218</v>
      </c>
      <c r="F327" t="inlineStr">
        <is>
          <t>KRONOBERGS LÄN</t>
        </is>
      </c>
      <c r="G327" t="inlineStr">
        <is>
          <t>TINGSRYD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22656-2023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46218</v>
      </c>
      <c r="F328" t="inlineStr">
        <is>
          <t>KRONOBERGS LÄN</t>
        </is>
      </c>
      <c r="G328" t="inlineStr">
        <is>
          <t>TINGSRYD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38961-2024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45548</v>
      </c>
      <c r="E329" s="1" t="n">
        <v>46218</v>
      </c>
      <c r="F329" t="inlineStr">
        <is>
          <t>KRONOBERGS LÄN</t>
        </is>
      </c>
      <c r="G329" t="inlineStr">
        <is>
          <t>TINGSRYD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13966-2024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45392</v>
      </c>
      <c r="E330" s="1" t="n">
        <v>46218</v>
      </c>
      <c r="F330" t="inlineStr">
        <is>
          <t>KRONOBERGS LÄN</t>
        </is>
      </c>
      <c r="G330" t="inlineStr">
        <is>
          <t>TINGSRYD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43308-2023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45183</v>
      </c>
      <c r="E331" s="1" t="n">
        <v>46218</v>
      </c>
      <c r="F331" t="inlineStr">
        <is>
          <t>KRONOBERGS LÄN</t>
        </is>
      </c>
      <c r="G331" t="inlineStr">
        <is>
          <t>TINGSRYD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3585-2023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46218</v>
      </c>
      <c r="F332" t="inlineStr">
        <is>
          <t>KRONOBERGS LÄN</t>
        </is>
      </c>
      <c r="G332" t="inlineStr">
        <is>
          <t>TINGSRYD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61194-2023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46218</v>
      </c>
      <c r="F333" t="inlineStr">
        <is>
          <t>KRONOBERGS LÄN</t>
        </is>
      </c>
      <c r="G333" t="inlineStr">
        <is>
          <t>TINGSRYD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55652-2022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44888</v>
      </c>
      <c r="E334" s="1" t="n">
        <v>46218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27115-2023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45093</v>
      </c>
      <c r="E335" s="1" t="n">
        <v>46218</v>
      </c>
      <c r="F335" t="inlineStr">
        <is>
          <t>KRONOBERGS LÄN</t>
        </is>
      </c>
      <c r="G335" t="inlineStr">
        <is>
          <t>TINGSRYD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10599-2023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44988</v>
      </c>
      <c r="E336" s="1" t="n">
        <v>46218</v>
      </c>
      <c r="F336" t="inlineStr">
        <is>
          <t>KRONOBERGS LÄN</t>
        </is>
      </c>
      <c r="G336" t="inlineStr">
        <is>
          <t>TINGSRYD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52168-2024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45608</v>
      </c>
      <c r="E337" s="1" t="n">
        <v>46218</v>
      </c>
      <c r="F337" t="inlineStr">
        <is>
          <t>KRONOBERGS LÄN</t>
        </is>
      </c>
      <c r="G337" t="inlineStr">
        <is>
          <t>TINGSRYD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25774-2024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45466</v>
      </c>
      <c r="E338" s="1" t="n">
        <v>46218</v>
      </c>
      <c r="F338" t="inlineStr">
        <is>
          <t>KRONOBERGS LÄN</t>
        </is>
      </c>
      <c r="G338" t="inlineStr">
        <is>
          <t>TINGSRYD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62975-2023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45272</v>
      </c>
      <c r="E339" s="1" t="n">
        <v>46218</v>
      </c>
      <c r="F339" t="inlineStr">
        <is>
          <t>KRONOBERGS LÄN</t>
        </is>
      </c>
      <c r="G339" t="inlineStr">
        <is>
          <t>TINGSRYD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58859-2022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44895</v>
      </c>
      <c r="E340" s="1" t="n">
        <v>46218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22641-2023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45071</v>
      </c>
      <c r="E341" s="1" t="n">
        <v>46218</v>
      </c>
      <c r="F341" t="inlineStr">
        <is>
          <t>KRONOBERGS LÄN</t>
        </is>
      </c>
      <c r="G341" t="inlineStr">
        <is>
          <t>TINGSRYD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44928</v>
      </c>
      <c r="E342" s="1" t="n">
        <v>46218</v>
      </c>
      <c r="F342" t="inlineStr">
        <is>
          <t>KRONOBERGS LÄN</t>
        </is>
      </c>
      <c r="G342" t="inlineStr">
        <is>
          <t>TINGSRYD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27307-2023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46218</v>
      </c>
      <c r="F343" t="inlineStr">
        <is>
          <t>KRONOBERGS LÄN</t>
        </is>
      </c>
      <c r="G343" t="inlineStr">
        <is>
          <t>TINGSRYD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68681-2021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44529</v>
      </c>
      <c r="E344" s="1" t="n">
        <v>46218</v>
      </c>
      <c r="F344" t="inlineStr">
        <is>
          <t>KRONOBERGS LÄN</t>
        </is>
      </c>
      <c r="G344" t="inlineStr">
        <is>
          <t>TINGSRYD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29661-2023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45107</v>
      </c>
      <c r="E345" s="1" t="n">
        <v>46218</v>
      </c>
      <c r="F345" t="inlineStr">
        <is>
          <t>KRONOBERGS LÄN</t>
        </is>
      </c>
      <c r="G345" t="inlineStr">
        <is>
          <t>TINGSRYD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22581-2024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45447</v>
      </c>
      <c r="E346" s="1" t="n">
        <v>46218</v>
      </c>
      <c r="F346" t="inlineStr">
        <is>
          <t>KRONOBERGS LÄN</t>
        </is>
      </c>
      <c r="G346" t="inlineStr">
        <is>
          <t>TINGSRYD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57955-2023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45247</v>
      </c>
      <c r="E347" s="1" t="n">
        <v>46218</v>
      </c>
      <c r="F347" t="inlineStr">
        <is>
          <t>KRONOBERGS LÄN</t>
        </is>
      </c>
      <c r="G347" t="inlineStr">
        <is>
          <t>TINGSRYD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46218</v>
      </c>
      <c r="F348" t="inlineStr">
        <is>
          <t>KRONOBERGS LÄN</t>
        </is>
      </c>
      <c r="G348" t="inlineStr">
        <is>
          <t>TINGSRYD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37189-2023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45155</v>
      </c>
      <c r="E349" s="1" t="n">
        <v>46218</v>
      </c>
      <c r="F349" t="inlineStr">
        <is>
          <t>KRONOBERGS LÄN</t>
        </is>
      </c>
      <c r="G349" t="inlineStr">
        <is>
          <t>TINGSRYD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37195-2023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45155</v>
      </c>
      <c r="E350" s="1" t="n">
        <v>46218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44570</v>
      </c>
      <c r="E351" s="1" t="n">
        <v>46218</v>
      </c>
      <c r="F351" t="inlineStr">
        <is>
          <t>KRONOBERGS LÄN</t>
        </is>
      </c>
      <c r="G351" t="inlineStr">
        <is>
          <t>TINGSRYD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22122-2023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45069</v>
      </c>
      <c r="E352" s="1" t="n">
        <v>46218</v>
      </c>
      <c r="F352" t="inlineStr">
        <is>
          <t>KRONOBERGS LÄN</t>
        </is>
      </c>
      <c r="G352" t="inlineStr">
        <is>
          <t>TINGSRYD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6894-2023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46218</v>
      </c>
      <c r="F353" t="inlineStr">
        <is>
          <t>KRONOBERGS LÄN</t>
        </is>
      </c>
      <c r="G353" t="inlineStr">
        <is>
          <t>TINGSRYD</t>
        </is>
      </c>
      <c r="H353" t="inlineStr">
        <is>
          <t>Övriga Aktiebolag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44670-2024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45574</v>
      </c>
      <c r="E354" s="1" t="n">
        <v>46218</v>
      </c>
      <c r="F354" t="inlineStr">
        <is>
          <t>KRONOBERGS LÄN</t>
        </is>
      </c>
      <c r="G354" t="inlineStr">
        <is>
          <t>TINGSRYD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1001-2023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44935</v>
      </c>
      <c r="E355" s="1" t="n">
        <v>46218</v>
      </c>
      <c r="F355" t="inlineStr">
        <is>
          <t>KRONOBERGS LÄN</t>
        </is>
      </c>
      <c r="G355" t="inlineStr">
        <is>
          <t>TINGSRYD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58251-2022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46218</v>
      </c>
      <c r="F356" t="inlineStr">
        <is>
          <t>KRONOBERGS LÄN</t>
        </is>
      </c>
      <c r="G356" t="inlineStr">
        <is>
          <t>TINGSRYD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58256-2022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44901</v>
      </c>
      <c r="E357" s="1" t="n">
        <v>46218</v>
      </c>
      <c r="F357" t="inlineStr">
        <is>
          <t>KRONOBERGS LÄN</t>
        </is>
      </c>
      <c r="G357" t="inlineStr">
        <is>
          <t>TINGSRYD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57959-2024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45631</v>
      </c>
      <c r="E358" s="1" t="n">
        <v>46218</v>
      </c>
      <c r="F358" t="inlineStr">
        <is>
          <t>KRONOBERGS LÄN</t>
        </is>
      </c>
      <c r="G358" t="inlineStr">
        <is>
          <t>TINGSRYD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13193-2023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46218</v>
      </c>
      <c r="F359" t="inlineStr">
        <is>
          <t>KRONOBERGS LÄN</t>
        </is>
      </c>
      <c r="G359" t="inlineStr">
        <is>
          <t>TINGSRYD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13296-2024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45386</v>
      </c>
      <c r="E360" s="1" t="n">
        <v>46218</v>
      </c>
      <c r="F360" t="inlineStr">
        <is>
          <t>KRONOBERGS LÄN</t>
        </is>
      </c>
      <c r="G360" t="inlineStr">
        <is>
          <t>TINGSRYD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24431-2023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45082</v>
      </c>
      <c r="E361" s="1" t="n">
        <v>46218</v>
      </c>
      <c r="F361" t="inlineStr">
        <is>
          <t>KRONOBERGS LÄN</t>
        </is>
      </c>
      <c r="G361" t="inlineStr">
        <is>
          <t>TINGSRYD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16487-2024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45408</v>
      </c>
      <c r="E362" s="1" t="n">
        <v>46218</v>
      </c>
      <c r="F362" t="inlineStr">
        <is>
          <t>KRONOBERGS LÄN</t>
        </is>
      </c>
      <c r="G362" t="inlineStr">
        <is>
          <t>TINGSRYD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42994-2023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45182</v>
      </c>
      <c r="E363" s="1" t="n">
        <v>46218</v>
      </c>
      <c r="F363" t="inlineStr">
        <is>
          <t>KRONOBERGS LÄN</t>
        </is>
      </c>
      <c r="G363" t="inlineStr">
        <is>
          <t>TINGSRYD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74236-2021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44558</v>
      </c>
      <c r="E364" s="1" t="n">
        <v>46218</v>
      </c>
      <c r="F364" t="inlineStr">
        <is>
          <t>KRONOBERGS LÄN</t>
        </is>
      </c>
      <c r="G364" t="inlineStr">
        <is>
          <t>TINGSRYD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54722-2023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45229</v>
      </c>
      <c r="E365" s="1" t="n">
        <v>46218</v>
      </c>
      <c r="F365" t="inlineStr">
        <is>
          <t>KRONOBERGS LÄN</t>
        </is>
      </c>
      <c r="G365" t="inlineStr">
        <is>
          <t>TINGSRYD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39099-2023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45164</v>
      </c>
      <c r="E366" s="1" t="n">
        <v>46218</v>
      </c>
      <c r="F366" t="inlineStr">
        <is>
          <t>KRONOBERGS LÄN</t>
        </is>
      </c>
      <c r="G366" t="inlineStr">
        <is>
          <t>TINGSRYD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39103-2023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45164</v>
      </c>
      <c r="E367" s="1" t="n">
        <v>46218</v>
      </c>
      <c r="F367" t="inlineStr">
        <is>
          <t>KRONOBERGS LÄN</t>
        </is>
      </c>
      <c r="G367" t="inlineStr">
        <is>
          <t>TINGSRYD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63824-2021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44509</v>
      </c>
      <c r="E368" s="1" t="n">
        <v>46218</v>
      </c>
      <c r="F368" t="inlineStr">
        <is>
          <t>KRONOBERGS LÄN</t>
        </is>
      </c>
      <c r="G368" t="inlineStr">
        <is>
          <t>TINGSRYD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45040-2023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45191</v>
      </c>
      <c r="E369" s="1" t="n">
        <v>46218</v>
      </c>
      <c r="F369" t="inlineStr">
        <is>
          <t>KRONOBERGS LÄN</t>
        </is>
      </c>
      <c r="G369" t="inlineStr">
        <is>
          <t>TINGSRYD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29895-2023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46218</v>
      </c>
      <c r="F370" t="inlineStr">
        <is>
          <t>KRONOBERGS LÄN</t>
        </is>
      </c>
      <c r="G370" t="inlineStr">
        <is>
          <t>TINGSRYD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59093-2021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44490</v>
      </c>
      <c r="E371" s="1" t="n">
        <v>46218</v>
      </c>
      <c r="F371" t="inlineStr">
        <is>
          <t>KRONOBERGS LÄN</t>
        </is>
      </c>
      <c r="G371" t="inlineStr">
        <is>
          <t>TINGSRYD</t>
        </is>
      </c>
      <c r="H371" t="inlineStr">
        <is>
          <t>Sveaskog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46218</v>
      </c>
      <c r="F372" t="inlineStr">
        <is>
          <t>KRONOBERGS LÄN</t>
        </is>
      </c>
      <c r="G372" t="inlineStr">
        <is>
          <t>TINGSRYD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38853-2024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45547</v>
      </c>
      <c r="E373" s="1" t="n">
        <v>46218</v>
      </c>
      <c r="F373" t="inlineStr">
        <is>
          <t>KRONOBERGS LÄN</t>
        </is>
      </c>
      <c r="G373" t="inlineStr">
        <is>
          <t>TINGSRYD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66182-2021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44518</v>
      </c>
      <c r="E374" s="1" t="n">
        <v>46218</v>
      </c>
      <c r="F374" t="inlineStr">
        <is>
          <t>KRONOBERGS LÄN</t>
        </is>
      </c>
      <c r="G374" t="inlineStr">
        <is>
          <t>TINGSRYD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61442-2023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46218</v>
      </c>
      <c r="F375" t="inlineStr">
        <is>
          <t>KRONOBERGS LÄN</t>
        </is>
      </c>
      <c r="G375" t="inlineStr">
        <is>
          <t>TINGSRYD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61445-2023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46218</v>
      </c>
      <c r="F376" t="inlineStr">
        <is>
          <t>KRONOBERGS LÄN</t>
        </is>
      </c>
      <c r="G376" t="inlineStr">
        <is>
          <t>TINGSRYD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22637-2023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46218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29354-2023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45106</v>
      </c>
      <c r="E378" s="1" t="n">
        <v>46218</v>
      </c>
      <c r="F378" t="inlineStr">
        <is>
          <t>KRONOBERGS LÄN</t>
        </is>
      </c>
      <c r="G378" t="inlineStr">
        <is>
          <t>TINGSRYD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45674</v>
      </c>
      <c r="E379" s="1" t="n">
        <v>46218</v>
      </c>
      <c r="F379" t="inlineStr">
        <is>
          <t>KRONOBERGS LÄN</t>
        </is>
      </c>
      <c r="G379" t="inlineStr">
        <is>
          <t>TINGSRYD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36623-2022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44804</v>
      </c>
      <c r="E380" s="1" t="n">
        <v>46218</v>
      </c>
      <c r="F380" t="inlineStr">
        <is>
          <t>KRONOBERGS LÄN</t>
        </is>
      </c>
      <c r="G380" t="inlineStr">
        <is>
          <t>TINGSRYD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48093-2025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46218</v>
      </c>
      <c r="F381" t="inlineStr">
        <is>
          <t>KRONOBERGS LÄN</t>
        </is>
      </c>
      <c r="G381" t="inlineStr">
        <is>
          <t>TINGSRYD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36626-2022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44804</v>
      </c>
      <c r="E382" s="1" t="n">
        <v>46218</v>
      </c>
      <c r="F382" t="inlineStr">
        <is>
          <t>KRONOBERGS LÄN</t>
        </is>
      </c>
      <c r="G382" t="inlineStr">
        <is>
          <t>TINGSRYD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56860-2021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44481</v>
      </c>
      <c r="E383" s="1" t="n">
        <v>46218</v>
      </c>
      <c r="F383" t="inlineStr">
        <is>
          <t>KRONOBERGS LÄN</t>
        </is>
      </c>
      <c r="G383" t="inlineStr">
        <is>
          <t>TINGSRYD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56933-2023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46218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57451-2023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45246</v>
      </c>
      <c r="E385" s="1" t="n">
        <v>46218</v>
      </c>
      <c r="F385" t="inlineStr">
        <is>
          <t>KRONOBERGS LÄN</t>
        </is>
      </c>
      <c r="G385" t="inlineStr">
        <is>
          <t>TINGSRYD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39992-2023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45167</v>
      </c>
      <c r="E386" s="1" t="n">
        <v>46218</v>
      </c>
      <c r="F386" t="inlineStr">
        <is>
          <t>KRONOBERGS LÄN</t>
        </is>
      </c>
      <c r="G386" t="inlineStr">
        <is>
          <t>TINGSRYD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50817-2024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46218</v>
      </c>
      <c r="F387" t="inlineStr">
        <is>
          <t>KRONOBERGS LÄN</t>
        </is>
      </c>
      <c r="G387" t="inlineStr">
        <is>
          <t>TINGSRYD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12108-2023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44998</v>
      </c>
      <c r="E388" s="1" t="n">
        <v>46218</v>
      </c>
      <c r="F388" t="inlineStr">
        <is>
          <t>KRONOBERGS LÄN</t>
        </is>
      </c>
      <c r="G388" t="inlineStr">
        <is>
          <t>TINGSRYD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17931-2022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44683</v>
      </c>
      <c r="E389" s="1" t="n">
        <v>46218</v>
      </c>
      <c r="F389" t="inlineStr">
        <is>
          <t>KRONOBERGS LÄN</t>
        </is>
      </c>
      <c r="G389" t="inlineStr">
        <is>
          <t>TINGSRYD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45618</v>
      </c>
      <c r="E390" s="1" t="n">
        <v>46218</v>
      </c>
      <c r="F390" t="inlineStr">
        <is>
          <t>KRONOBERGS LÄN</t>
        </is>
      </c>
      <c r="G390" t="inlineStr">
        <is>
          <t>TINGSRYD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44237-2023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45188</v>
      </c>
      <c r="E391" s="1" t="n">
        <v>46218</v>
      </c>
      <c r="F391" t="inlineStr">
        <is>
          <t>KRONOBERGS LÄN</t>
        </is>
      </c>
      <c r="G391" t="inlineStr">
        <is>
          <t>TINGSRYD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11182-2024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46218</v>
      </c>
      <c r="F392" t="inlineStr">
        <is>
          <t>KRONOBERGS LÄN</t>
        </is>
      </c>
      <c r="G392" t="inlineStr">
        <is>
          <t>TINGSRYD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66789-2021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44522</v>
      </c>
      <c r="E393" s="1" t="n">
        <v>46218</v>
      </c>
      <c r="F393" t="inlineStr">
        <is>
          <t>KRONOBERGS LÄN</t>
        </is>
      </c>
      <c r="G393" t="inlineStr">
        <is>
          <t>TINGSRYD</t>
        </is>
      </c>
      <c r="H393" t="inlineStr">
        <is>
          <t>Övriga Aktiebolag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28953-2022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44749</v>
      </c>
      <c r="E394" s="1" t="n">
        <v>46218</v>
      </c>
      <c r="F394" t="inlineStr">
        <is>
          <t>KRONOBERGS LÄN</t>
        </is>
      </c>
      <c r="G394" t="inlineStr">
        <is>
          <t>TINGSRYD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6929-2025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45701</v>
      </c>
      <c r="E395" s="1" t="n">
        <v>46218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16342-2024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46218</v>
      </c>
      <c r="F396" t="inlineStr">
        <is>
          <t>KRONOBERGS LÄN</t>
        </is>
      </c>
      <c r="G396" t="inlineStr">
        <is>
          <t>TINGSRYD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43912-2024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45572</v>
      </c>
      <c r="E397" s="1" t="n">
        <v>46218</v>
      </c>
      <c r="F397" t="inlineStr">
        <is>
          <t>KRONOBERGS LÄN</t>
        </is>
      </c>
      <c r="G397" t="inlineStr">
        <is>
          <t>TINGSRYD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49308-2025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46218</v>
      </c>
      <c r="F398" t="inlineStr">
        <is>
          <t>KRONOBERGS LÄN</t>
        </is>
      </c>
      <c r="G398" t="inlineStr">
        <is>
          <t>TINGSRYD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37152-2024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45539</v>
      </c>
      <c r="E399" s="1" t="n">
        <v>46218</v>
      </c>
      <c r="F399" t="inlineStr">
        <is>
          <t>KRONOBERGS LÄN</t>
        </is>
      </c>
      <c r="G399" t="inlineStr">
        <is>
          <t>TINGSRYD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44967</v>
      </c>
      <c r="E400" s="1" t="n">
        <v>46218</v>
      </c>
      <c r="F400" t="inlineStr">
        <is>
          <t>KRONOBERGS LÄN</t>
        </is>
      </c>
      <c r="G400" t="inlineStr">
        <is>
          <t>TINGSRYD</t>
        </is>
      </c>
      <c r="I400" t="n">
        <v>0.1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6881-2023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44967</v>
      </c>
      <c r="E401" s="1" t="n">
        <v>46218</v>
      </c>
      <c r="F401" t="inlineStr">
        <is>
          <t>KRONOBERGS LÄN</t>
        </is>
      </c>
      <c r="G401" t="inlineStr">
        <is>
          <t>TINGSRYD</t>
        </is>
      </c>
      <c r="H401" t="inlineStr">
        <is>
          <t>Övriga Aktiebolag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18638-2025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45763</v>
      </c>
      <c r="E402" s="1" t="n">
        <v>46218</v>
      </c>
      <c r="F402" t="inlineStr">
        <is>
          <t>KRONOBERGS LÄN</t>
        </is>
      </c>
      <c r="G402" t="inlineStr">
        <is>
          <t>TINGSRYD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4571-2024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45327</v>
      </c>
      <c r="E403" s="1" t="n">
        <v>46218</v>
      </c>
      <c r="F403" t="inlineStr">
        <is>
          <t>KRONOBERGS LÄN</t>
        </is>
      </c>
      <c r="G403" t="inlineStr">
        <is>
          <t>TINGSRYD</t>
        </is>
      </c>
      <c r="H403" t="inlineStr">
        <is>
          <t>Sveaskog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9838-2022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44620</v>
      </c>
      <c r="E404" s="1" t="n">
        <v>46218</v>
      </c>
      <c r="F404" t="inlineStr">
        <is>
          <t>KRONOBERGS LÄN</t>
        </is>
      </c>
      <c r="G404" t="inlineStr">
        <is>
          <t>TINGSRYD</t>
        </is>
      </c>
      <c r="H404" t="inlineStr">
        <is>
          <t>Kommuner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16898-2025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46218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46218</v>
      </c>
      <c r="F406" t="inlineStr">
        <is>
          <t>KRONOBERGS LÄN</t>
        </is>
      </c>
      <c r="G406" t="inlineStr">
        <is>
          <t>TINGSRYD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27570-2023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45097</v>
      </c>
      <c r="E407" s="1" t="n">
        <v>46218</v>
      </c>
      <c r="F407" t="inlineStr">
        <is>
          <t>KRONOBERGS LÄN</t>
        </is>
      </c>
      <c r="G407" t="inlineStr">
        <is>
          <t>TINGSRYD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51876-2024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45607</v>
      </c>
      <c r="E408" s="1" t="n">
        <v>46218</v>
      </c>
      <c r="F408" t="inlineStr">
        <is>
          <t>KRONOBERGS LÄN</t>
        </is>
      </c>
      <c r="G408" t="inlineStr">
        <is>
          <t>TINGSRYD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8919-2025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46218</v>
      </c>
      <c r="F409" t="inlineStr">
        <is>
          <t>KRONOBERGS LÄN</t>
        </is>
      </c>
      <c r="G409" t="inlineStr">
        <is>
          <t>TINGSRYD</t>
        </is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32810-2023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45124</v>
      </c>
      <c r="E410" s="1" t="n">
        <v>46218</v>
      </c>
      <c r="F410" t="inlineStr">
        <is>
          <t>KRONOBERGS LÄN</t>
        </is>
      </c>
      <c r="G410" t="inlineStr">
        <is>
          <t>TINGSRYD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45522-2023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45194</v>
      </c>
      <c r="E411" s="1" t="n">
        <v>46218</v>
      </c>
      <c r="F411" t="inlineStr">
        <is>
          <t>KRONOBERGS LÄN</t>
        </is>
      </c>
      <c r="G411" t="inlineStr">
        <is>
          <t>TINGSRYD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16901-2023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45033</v>
      </c>
      <c r="E412" s="1" t="n">
        <v>46218</v>
      </c>
      <c r="F412" t="inlineStr">
        <is>
          <t>KRONOBERGS LÄN</t>
        </is>
      </c>
      <c r="G412" t="inlineStr">
        <is>
          <t>TINGSRYD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5295-2024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45331</v>
      </c>
      <c r="E413" s="1" t="n">
        <v>46218</v>
      </c>
      <c r="F413" t="inlineStr">
        <is>
          <t>KRONOBERGS LÄN</t>
        </is>
      </c>
      <c r="G413" t="inlineStr">
        <is>
          <t>TINGSRYD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46218</v>
      </c>
      <c r="F414" t="inlineStr">
        <is>
          <t>KRONOBERGS LÄN</t>
        </is>
      </c>
      <c r="G414" t="inlineStr">
        <is>
          <t>TINGSRYD</t>
        </is>
      </c>
      <c r="I414" t="n">
        <v>14.7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3588-2023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44950</v>
      </c>
      <c r="E415" s="1" t="n">
        <v>46218</v>
      </c>
      <c r="F415" t="inlineStr">
        <is>
          <t>KRONOBERGS LÄN</t>
        </is>
      </c>
      <c r="G415" t="inlineStr">
        <is>
          <t>TINGSRYD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46021-2024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45580</v>
      </c>
      <c r="E416" s="1" t="n">
        <v>46218</v>
      </c>
      <c r="F416" t="inlineStr">
        <is>
          <t>KRONOBERGS LÄN</t>
        </is>
      </c>
      <c r="G416" t="inlineStr">
        <is>
          <t>TINGSRYD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54168-2024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45616</v>
      </c>
      <c r="E417" s="1" t="n">
        <v>46218</v>
      </c>
      <c r="F417" t="inlineStr">
        <is>
          <t>KRONOBERGS LÄN</t>
        </is>
      </c>
      <c r="G417" t="inlineStr">
        <is>
          <t>TINGSRYD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63697-2023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45275</v>
      </c>
      <c r="E418" s="1" t="n">
        <v>46218</v>
      </c>
      <c r="F418" t="inlineStr">
        <is>
          <t>KRONOBERGS LÄN</t>
        </is>
      </c>
      <c r="G418" t="inlineStr">
        <is>
          <t>TINGSRYD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42095-2023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45175</v>
      </c>
      <c r="E419" s="1" t="n">
        <v>46218</v>
      </c>
      <c r="F419" t="inlineStr">
        <is>
          <t>KRONOBERGS LÄN</t>
        </is>
      </c>
      <c r="G419" t="inlineStr">
        <is>
          <t>TINGSRYD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64069-2023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45279</v>
      </c>
      <c r="E420" s="1" t="n">
        <v>46218</v>
      </c>
      <c r="F420" t="inlineStr">
        <is>
          <t>KRONOBERGS LÄN</t>
        </is>
      </c>
      <c r="G420" t="inlineStr">
        <is>
          <t>TINGSRYD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6416-2024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45338</v>
      </c>
      <c r="E421" s="1" t="n">
        <v>46218</v>
      </c>
      <c r="F421" t="inlineStr">
        <is>
          <t>KRONOBERGS LÄN</t>
        </is>
      </c>
      <c r="G421" t="inlineStr">
        <is>
          <t>TINGSRYD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6018-2022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44599</v>
      </c>
      <c r="E422" s="1" t="n">
        <v>46218</v>
      </c>
      <c r="F422" t="inlineStr">
        <is>
          <t>KRONOBERGS LÄN</t>
        </is>
      </c>
      <c r="G422" t="inlineStr">
        <is>
          <t>TINGSRYD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51557-2025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45950</v>
      </c>
      <c r="E423" s="1" t="n">
        <v>46218</v>
      </c>
      <c r="F423" t="inlineStr">
        <is>
          <t>KRONOBERGS LÄN</t>
        </is>
      </c>
      <c r="G423" t="inlineStr">
        <is>
          <t>TINGSRYD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28506-2022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44748</v>
      </c>
      <c r="E424" s="1" t="n">
        <v>46218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61558-2024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45646</v>
      </c>
      <c r="E425" s="1" t="n">
        <v>46218</v>
      </c>
      <c r="F425" t="inlineStr">
        <is>
          <t>KRONOBERGS LÄN</t>
        </is>
      </c>
      <c r="G425" t="inlineStr">
        <is>
          <t>TINGSRYD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20955-2024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45439</v>
      </c>
      <c r="E426" s="1" t="n">
        <v>46218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52694-2024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45610</v>
      </c>
      <c r="E427" s="1" t="n">
        <v>46218</v>
      </c>
      <c r="F427" t="inlineStr">
        <is>
          <t>KRONOBERGS LÄN</t>
        </is>
      </c>
      <c r="G427" t="inlineStr">
        <is>
          <t>TINGSRYD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10595-2023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44988</v>
      </c>
      <c r="E428" s="1" t="n">
        <v>46218</v>
      </c>
      <c r="F428" t="inlineStr">
        <is>
          <t>KRONOBERGS LÄN</t>
        </is>
      </c>
      <c r="G428" t="inlineStr">
        <is>
          <t>TINGSRYD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45688</v>
      </c>
      <c r="E429" s="1" t="n">
        <v>46218</v>
      </c>
      <c r="F429" t="inlineStr">
        <is>
          <t>KRONOBERGS LÄN</t>
        </is>
      </c>
      <c r="G429" t="inlineStr">
        <is>
          <t>TINGSRYD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9740-2024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45362</v>
      </c>
      <c r="E430" s="1" t="n">
        <v>46218</v>
      </c>
      <c r="F430" t="inlineStr">
        <is>
          <t>KRONOBERGS LÄN</t>
        </is>
      </c>
      <c r="G430" t="inlineStr">
        <is>
          <t>TINGSRYD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19639-2024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45432</v>
      </c>
      <c r="E431" s="1" t="n">
        <v>46218</v>
      </c>
      <c r="F431" t="inlineStr">
        <is>
          <t>KRONOBERGS LÄN</t>
        </is>
      </c>
      <c r="G431" t="inlineStr">
        <is>
          <t>TINGSRYD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11600-2025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46218</v>
      </c>
      <c r="F432" t="inlineStr">
        <is>
          <t>KRONOBERGS LÄN</t>
        </is>
      </c>
      <c r="G432" t="inlineStr">
        <is>
          <t>TINGSRYD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39659-2022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44818</v>
      </c>
      <c r="E433" s="1" t="n">
        <v>46218</v>
      </c>
      <c r="F433" t="inlineStr">
        <is>
          <t>KRONOBERGS LÄN</t>
        </is>
      </c>
      <c r="G433" t="inlineStr">
        <is>
          <t>TINGSRYD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10453-2024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45366</v>
      </c>
      <c r="E434" s="1" t="n">
        <v>46218</v>
      </c>
      <c r="F434" t="inlineStr">
        <is>
          <t>KRONOBERGS LÄN</t>
        </is>
      </c>
      <c r="G434" t="inlineStr">
        <is>
          <t>TINGSRYD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44743-2024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45574</v>
      </c>
      <c r="E435" s="1" t="n">
        <v>46218</v>
      </c>
      <c r="F435" t="inlineStr">
        <is>
          <t>KRONOBERGS LÄN</t>
        </is>
      </c>
      <c r="G435" t="inlineStr">
        <is>
          <t>TINGSRYD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42087-2024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45562</v>
      </c>
      <c r="E436" s="1" t="n">
        <v>46218</v>
      </c>
      <c r="F436" t="inlineStr">
        <is>
          <t>KRONOBERGS LÄN</t>
        </is>
      </c>
      <c r="G436" t="inlineStr">
        <is>
          <t>TINGSRYD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53766-2024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45615</v>
      </c>
      <c r="E437" s="1" t="n">
        <v>46218</v>
      </c>
      <c r="F437" t="inlineStr">
        <is>
          <t>KRONOBERGS LÄN</t>
        </is>
      </c>
      <c r="G437" t="inlineStr">
        <is>
          <t>TINGSRYD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7409-2023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44971</v>
      </c>
      <c r="E438" s="1" t="n">
        <v>46218</v>
      </c>
      <c r="F438" t="inlineStr">
        <is>
          <t>KRONOBERGS LÄN</t>
        </is>
      </c>
      <c r="G438" t="inlineStr">
        <is>
          <t>TINGSRYD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17936-2024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45419</v>
      </c>
      <c r="E439" s="1" t="n">
        <v>46218</v>
      </c>
      <c r="F439" t="inlineStr">
        <is>
          <t>KRONOBERGS LÄN</t>
        </is>
      </c>
      <c r="G439" t="inlineStr">
        <is>
          <t>TINGSRYD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33326-2024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46218</v>
      </c>
      <c r="F440" t="inlineStr">
        <is>
          <t>KRONOBERGS LÄN</t>
        </is>
      </c>
      <c r="G440" t="inlineStr">
        <is>
          <t>TINGSRYD</t>
        </is>
      </c>
      <c r="I440" t="n">
        <v>10.6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25589-2023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45089</v>
      </c>
      <c r="E441" s="1" t="n">
        <v>46218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16994-2024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45412</v>
      </c>
      <c r="E442" s="1" t="n">
        <v>46218</v>
      </c>
      <c r="F442" t="inlineStr">
        <is>
          <t>KRONOBERGS LÄN</t>
        </is>
      </c>
      <c r="G442" t="inlineStr">
        <is>
          <t>TINGSRYD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24886-2024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45461</v>
      </c>
      <c r="E443" s="1" t="n">
        <v>46218</v>
      </c>
      <c r="F443" t="inlineStr">
        <is>
          <t>KRONOBERGS LÄN</t>
        </is>
      </c>
      <c r="G443" t="inlineStr">
        <is>
          <t>TINGSRYD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1563-2025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45670</v>
      </c>
      <c r="E444" s="1" t="n">
        <v>46218</v>
      </c>
      <c r="F444" t="inlineStr">
        <is>
          <t>KRONOBERGS LÄN</t>
        </is>
      </c>
      <c r="G444" t="inlineStr">
        <is>
          <t>TINGSRYD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19824-2025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45771</v>
      </c>
      <c r="E445" s="1" t="n">
        <v>46218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14808-2023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45014</v>
      </c>
      <c r="E446" s="1" t="n">
        <v>46218</v>
      </c>
      <c r="F446" t="inlineStr">
        <is>
          <t>KRONOBERGS LÄN</t>
        </is>
      </c>
      <c r="G446" t="inlineStr">
        <is>
          <t>TINGSRYD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29916-2022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44756</v>
      </c>
      <c r="E447" s="1" t="n">
        <v>46218</v>
      </c>
      <c r="F447" t="inlineStr">
        <is>
          <t>KRONOBERGS LÄN</t>
        </is>
      </c>
      <c r="G447" t="inlineStr">
        <is>
          <t>TINGSRYD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50798-2024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46218</v>
      </c>
      <c r="F448" t="inlineStr">
        <is>
          <t>KRONOBERGS LÄN</t>
        </is>
      </c>
      <c r="G448" t="inlineStr">
        <is>
          <t>TINGSRYD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4636-2023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46218</v>
      </c>
      <c r="F449" t="inlineStr">
        <is>
          <t>KRONOBERGS LÄN</t>
        </is>
      </c>
      <c r="G449" t="inlineStr">
        <is>
          <t>TINGSRYD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6139-2022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44599</v>
      </c>
      <c r="E450" s="1" t="n">
        <v>46218</v>
      </c>
      <c r="F450" t="inlineStr">
        <is>
          <t>KRONOBERGS LÄN</t>
        </is>
      </c>
      <c r="G450" t="inlineStr">
        <is>
          <t>TINGSRYD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57988-2022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46218</v>
      </c>
      <c r="F451" t="inlineStr">
        <is>
          <t>KRONOBERGS LÄN</t>
        </is>
      </c>
      <c r="G451" t="inlineStr">
        <is>
          <t>TINGSRYD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13191-2023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45002</v>
      </c>
      <c r="E452" s="1" t="n">
        <v>46218</v>
      </c>
      <c r="F452" t="inlineStr">
        <is>
          <t>KRONOBERGS LÄN</t>
        </is>
      </c>
      <c r="G452" t="inlineStr">
        <is>
          <t>TINGSRYD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39850-2024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46218</v>
      </c>
      <c r="F453" t="inlineStr">
        <is>
          <t>KRONOBERGS LÄN</t>
        </is>
      </c>
      <c r="G453" t="inlineStr">
        <is>
          <t>TINGSRYD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23861-2024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45455</v>
      </c>
      <c r="E454" s="1" t="n">
        <v>46218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45323</v>
      </c>
      <c r="E455" s="1" t="n">
        <v>46218</v>
      </c>
      <c r="F455" t="inlineStr">
        <is>
          <t>KRONOBERGS LÄN</t>
        </is>
      </c>
      <c r="G455" t="inlineStr">
        <is>
          <t>TINGSRYD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35997-2024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45533</v>
      </c>
      <c r="E456" s="1" t="n">
        <v>46218</v>
      </c>
      <c r="F456" t="inlineStr">
        <is>
          <t>KRONOBERGS LÄN</t>
        </is>
      </c>
      <c r="G456" t="inlineStr">
        <is>
          <t>TINGSRYD</t>
        </is>
      </c>
      <c r="I456" t="n">
        <v>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21506-2025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46218</v>
      </c>
      <c r="F457" t="inlineStr">
        <is>
          <t>KRONOBERGS LÄN</t>
        </is>
      </c>
      <c r="G457" t="inlineStr">
        <is>
          <t>TINGSRYD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3589-2023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44950</v>
      </c>
      <c r="E458" s="1" t="n">
        <v>46218</v>
      </c>
      <c r="F458" t="inlineStr">
        <is>
          <t>KRONOBERGS LÄN</t>
        </is>
      </c>
      <c r="G458" t="inlineStr">
        <is>
          <t>TINGSRYD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11352-2023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44993</v>
      </c>
      <c r="E459" s="1" t="n">
        <v>46218</v>
      </c>
      <c r="F459" t="inlineStr">
        <is>
          <t>KRONOBERGS LÄN</t>
        </is>
      </c>
      <c r="G459" t="inlineStr">
        <is>
          <t>TINGSRYD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38614-2024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45546</v>
      </c>
      <c r="E460" s="1" t="n">
        <v>46218</v>
      </c>
      <c r="F460" t="inlineStr">
        <is>
          <t>KRONOBERGS LÄN</t>
        </is>
      </c>
      <c r="G460" t="inlineStr">
        <is>
          <t>TINGSRYD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52217-2025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45953</v>
      </c>
      <c r="E461" s="1" t="n">
        <v>46218</v>
      </c>
      <c r="F461" t="inlineStr">
        <is>
          <t>KRONOBERGS LÄN</t>
        </is>
      </c>
      <c r="G461" t="inlineStr">
        <is>
          <t>TINGSRYD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27718-2024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45475</v>
      </c>
      <c r="E462" s="1" t="n">
        <v>46218</v>
      </c>
      <c r="F462" t="inlineStr">
        <is>
          <t>KRONOBERGS LÄN</t>
        </is>
      </c>
      <c r="G462" t="inlineStr">
        <is>
          <t>TINGSRYD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21913-2025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45784</v>
      </c>
      <c r="E463" s="1" t="n">
        <v>46218</v>
      </c>
      <c r="F463" t="inlineStr">
        <is>
          <t>KRONOBERGS LÄN</t>
        </is>
      </c>
      <c r="G463" t="inlineStr">
        <is>
          <t>TINGSRYD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13400-2025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45735</v>
      </c>
      <c r="E464" s="1" t="n">
        <v>46218</v>
      </c>
      <c r="F464" t="inlineStr">
        <is>
          <t>KRONOBERGS LÄN</t>
        </is>
      </c>
      <c r="G464" t="inlineStr">
        <is>
          <t>TINGSRYD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13401-2025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45735</v>
      </c>
      <c r="E465" s="1" t="n">
        <v>46218</v>
      </c>
      <c r="F465" t="inlineStr">
        <is>
          <t>KRONOBERGS LÄN</t>
        </is>
      </c>
      <c r="G465" t="inlineStr">
        <is>
          <t>TINGSRYD</t>
        </is>
      </c>
      <c r="I465" t="n">
        <v>0.1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8543-2025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45709</v>
      </c>
      <c r="E466" s="1" t="n">
        <v>46218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8604-2025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45710</v>
      </c>
      <c r="E467" s="1" t="n">
        <v>46218</v>
      </c>
      <c r="F467" t="inlineStr">
        <is>
          <t>KRONOBERGS LÄN</t>
        </is>
      </c>
      <c r="G467" t="inlineStr">
        <is>
          <t>TINGSRYD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43466-2024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45568</v>
      </c>
      <c r="E468" s="1" t="n">
        <v>46218</v>
      </c>
      <c r="F468" t="inlineStr">
        <is>
          <t>KRONOBERGS LÄN</t>
        </is>
      </c>
      <c r="G468" t="inlineStr">
        <is>
          <t>TINGSRYD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46218</v>
      </c>
      <c r="F469" t="inlineStr">
        <is>
          <t>KRONOBERGS LÄN</t>
        </is>
      </c>
      <c r="G469" t="inlineStr">
        <is>
          <t>TINGSRYD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21914-2025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45784</v>
      </c>
      <c r="E470" s="1" t="n">
        <v>46218</v>
      </c>
      <c r="F470" t="inlineStr">
        <is>
          <t>KRONOBERGS LÄN</t>
        </is>
      </c>
      <c r="G470" t="inlineStr">
        <is>
          <t>TINGSRYD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4357-2024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45325</v>
      </c>
      <c r="E471" s="1" t="n">
        <v>46218</v>
      </c>
      <c r="F471" t="inlineStr">
        <is>
          <t>KRONOBERGS LÄN</t>
        </is>
      </c>
      <c r="G471" t="inlineStr">
        <is>
          <t>TINGSRYD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41824-2023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45176</v>
      </c>
      <c r="E472" s="1" t="n">
        <v>46218</v>
      </c>
      <c r="F472" t="inlineStr">
        <is>
          <t>KRONOBERGS LÄN</t>
        </is>
      </c>
      <c r="G472" t="inlineStr">
        <is>
          <t>TINGSRYD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44930</v>
      </c>
      <c r="E473" s="1" t="n">
        <v>46218</v>
      </c>
      <c r="F473" t="inlineStr">
        <is>
          <t>KRONOBERGS LÄN</t>
        </is>
      </c>
      <c r="G473" t="inlineStr">
        <is>
          <t>TINGSRYD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42654-2023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45181</v>
      </c>
      <c r="E474" s="1" t="n">
        <v>46218</v>
      </c>
      <c r="F474" t="inlineStr">
        <is>
          <t>KRONOBERGS LÄN</t>
        </is>
      </c>
      <c r="G474" t="inlineStr">
        <is>
          <t>TINGSRYD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20111-2024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45434</v>
      </c>
      <c r="E475" s="1" t="n">
        <v>46218</v>
      </c>
      <c r="F475" t="inlineStr">
        <is>
          <t>KRONOBERGS LÄN</t>
        </is>
      </c>
      <c r="G475" t="inlineStr">
        <is>
          <t>TINGSRYD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42304-2021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44426</v>
      </c>
      <c r="E476" s="1" t="n">
        <v>46218</v>
      </c>
      <c r="F476" t="inlineStr">
        <is>
          <t>KRONOBERGS LÄN</t>
        </is>
      </c>
      <c r="G476" t="inlineStr">
        <is>
          <t>TINGSRYD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32612-2022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44783</v>
      </c>
      <c r="E477" s="1" t="n">
        <v>46218</v>
      </c>
      <c r="F477" t="inlineStr">
        <is>
          <t>KRONOBERGS LÄN</t>
        </is>
      </c>
      <c r="G477" t="inlineStr">
        <is>
          <t>TINGSRYD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61851-2023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46218</v>
      </c>
      <c r="F478" t="inlineStr">
        <is>
          <t>KRONOBERGS LÄN</t>
        </is>
      </c>
      <c r="G478" t="inlineStr">
        <is>
          <t>TINGSRYD</t>
        </is>
      </c>
      <c r="H478" t="inlineStr">
        <is>
          <t>Övriga Aktiebolag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33355-2023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45117</v>
      </c>
      <c r="E479" s="1" t="n">
        <v>46218</v>
      </c>
      <c r="F479" t="inlineStr">
        <is>
          <t>KRONOBERGS LÄN</t>
        </is>
      </c>
      <c r="G479" t="inlineStr">
        <is>
          <t>TINGSRYD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33365-2023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45117</v>
      </c>
      <c r="E480" s="1" t="n">
        <v>46218</v>
      </c>
      <c r="F480" t="inlineStr">
        <is>
          <t>KRONOBERGS LÄN</t>
        </is>
      </c>
      <c r="G480" t="inlineStr">
        <is>
          <t>TINGSRYD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8743-2025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46218</v>
      </c>
      <c r="F481" t="inlineStr">
        <is>
          <t>KRONOBERGS LÄN</t>
        </is>
      </c>
      <c r="G481" t="inlineStr">
        <is>
          <t>TINGSRYD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3303-2025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45679</v>
      </c>
      <c r="E482" s="1" t="n">
        <v>46218</v>
      </c>
      <c r="F482" t="inlineStr">
        <is>
          <t>KRONOBERGS LÄN</t>
        </is>
      </c>
      <c r="G482" t="inlineStr">
        <is>
          <t>TINGSRYD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22583-2025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45789</v>
      </c>
      <c r="E483" s="1" t="n">
        <v>46218</v>
      </c>
      <c r="F483" t="inlineStr">
        <is>
          <t>KRONOBERGS LÄN</t>
        </is>
      </c>
      <c r="G483" t="inlineStr">
        <is>
          <t>TINGSRYD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3190-2025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45679</v>
      </c>
      <c r="E484" s="1" t="n">
        <v>46218</v>
      </c>
      <c r="F484" t="inlineStr">
        <is>
          <t>KRONOBERGS LÄN</t>
        </is>
      </c>
      <c r="G484" t="inlineStr">
        <is>
          <t>TINGSRYD</t>
        </is>
      </c>
      <c r="I484" t="n">
        <v>5.9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55126-2023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45230</v>
      </c>
      <c r="E485" s="1" t="n">
        <v>46218</v>
      </c>
      <c r="F485" t="inlineStr">
        <is>
          <t>KRONOBERGS LÄN</t>
        </is>
      </c>
      <c r="G485" t="inlineStr">
        <is>
          <t>TINGSRYD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32624-2022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44783</v>
      </c>
      <c r="E486" s="1" t="n">
        <v>46218</v>
      </c>
      <c r="F486" t="inlineStr">
        <is>
          <t>KRONOBERGS LÄN</t>
        </is>
      </c>
      <c r="G486" t="inlineStr">
        <is>
          <t>TINGSRYD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14595-2024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45395</v>
      </c>
      <c r="E487" s="1" t="n">
        <v>46218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43263-2024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46218</v>
      </c>
      <c r="F488" t="inlineStr">
        <is>
          <t>KRONOBERGS LÄN</t>
        </is>
      </c>
      <c r="G488" t="inlineStr">
        <is>
          <t>TINGSRYD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9647-2022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44617</v>
      </c>
      <c r="E489" s="1" t="n">
        <v>46218</v>
      </c>
      <c r="F489" t="inlineStr">
        <is>
          <t>KRONOBERGS LÄN</t>
        </is>
      </c>
      <c r="G489" t="inlineStr">
        <is>
          <t>TINGSRYD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32142-2024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45511</v>
      </c>
      <c r="E490" s="1" t="n">
        <v>46218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58819-2024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45636</v>
      </c>
      <c r="E491" s="1" t="n">
        <v>46218</v>
      </c>
      <c r="F491" t="inlineStr">
        <is>
          <t>KRONOBERGS LÄN</t>
        </is>
      </c>
      <c r="G491" t="inlineStr">
        <is>
          <t>TINGSRYD</t>
        </is>
      </c>
      <c r="H491" t="inlineStr">
        <is>
          <t>Övriga Aktiebolag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7307-2024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45345</v>
      </c>
      <c r="E492" s="1" t="n">
        <v>46218</v>
      </c>
      <c r="F492" t="inlineStr">
        <is>
          <t>KRONOBERGS LÄN</t>
        </is>
      </c>
      <c r="G492" t="inlineStr">
        <is>
          <t>TINGSRYD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44734-2024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45574</v>
      </c>
      <c r="E493" s="1" t="n">
        <v>46218</v>
      </c>
      <c r="F493" t="inlineStr">
        <is>
          <t>KRONOBERGS LÄN</t>
        </is>
      </c>
      <c r="G493" t="inlineStr">
        <is>
          <t>TINGSRYD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58927-2023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46218</v>
      </c>
      <c r="F494" t="inlineStr">
        <is>
          <t>KRONOBERGS LÄN</t>
        </is>
      </c>
      <c r="G494" t="inlineStr">
        <is>
          <t>TINGSRYD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40882-2023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46218</v>
      </c>
      <c r="F495" t="inlineStr">
        <is>
          <t>KRONOBERGS LÄN</t>
        </is>
      </c>
      <c r="G495" t="inlineStr">
        <is>
          <t>TINGSRYD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38571-2021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44407</v>
      </c>
      <c r="E496" s="1" t="n">
        <v>46218</v>
      </c>
      <c r="F496" t="inlineStr">
        <is>
          <t>KRONOBERGS LÄN</t>
        </is>
      </c>
      <c r="G496" t="inlineStr">
        <is>
          <t>TINGSRYD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25937-2023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46218</v>
      </c>
      <c r="F497" t="inlineStr">
        <is>
          <t>KRONOBERGS LÄN</t>
        </is>
      </c>
      <c r="G497" t="inlineStr">
        <is>
          <t>TINGSRYD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24415-2023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46218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41302-2023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45173</v>
      </c>
      <c r="E499" s="1" t="n">
        <v>46218</v>
      </c>
      <c r="F499" t="inlineStr">
        <is>
          <t>KRONOBERGS LÄN</t>
        </is>
      </c>
      <c r="G499" t="inlineStr">
        <is>
          <t>TINGSRYD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63444-2023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45274</v>
      </c>
      <c r="E500" s="1" t="n">
        <v>46218</v>
      </c>
      <c r="F500" t="inlineStr">
        <is>
          <t>KRONOBERGS LÄN</t>
        </is>
      </c>
      <c r="G500" t="inlineStr">
        <is>
          <t>TINGSRYD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48953-2024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45594</v>
      </c>
      <c r="E501" s="1" t="n">
        <v>46218</v>
      </c>
      <c r="F501" t="inlineStr">
        <is>
          <t>KRONOBERGS LÄN</t>
        </is>
      </c>
      <c r="G501" t="inlineStr">
        <is>
          <t>TINGSRYD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7310-2024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45345</v>
      </c>
      <c r="E502" s="1" t="n">
        <v>46218</v>
      </c>
      <c r="F502" t="inlineStr">
        <is>
          <t>KRONOBERGS LÄN</t>
        </is>
      </c>
      <c r="G502" t="inlineStr">
        <is>
          <t>TINGSRYD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47149-2023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45201</v>
      </c>
      <c r="E503" s="1" t="n">
        <v>46218</v>
      </c>
      <c r="F503" t="inlineStr">
        <is>
          <t>KRONOBERGS LÄN</t>
        </is>
      </c>
      <c r="G503" t="inlineStr">
        <is>
          <t>TINGSRYD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42349-2024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45562</v>
      </c>
      <c r="E504" s="1" t="n">
        <v>46218</v>
      </c>
      <c r="F504" t="inlineStr">
        <is>
          <t>KRONOBERGS LÄN</t>
        </is>
      </c>
      <c r="G504" t="inlineStr">
        <is>
          <t>TINGSRYD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48306-2024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45590</v>
      </c>
      <c r="E505" s="1" t="n">
        <v>46218</v>
      </c>
      <c r="F505" t="inlineStr">
        <is>
          <t>KRONOBERGS LÄN</t>
        </is>
      </c>
      <c r="G505" t="inlineStr">
        <is>
          <t>TINGSRYD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49965-2024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45597</v>
      </c>
      <c r="E506" s="1" t="n">
        <v>46218</v>
      </c>
      <c r="F506" t="inlineStr">
        <is>
          <t>KRONOBERGS LÄN</t>
        </is>
      </c>
      <c r="G506" t="inlineStr">
        <is>
          <t>TINGSRYD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59085-2024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45637</v>
      </c>
      <c r="E507" s="1" t="n">
        <v>46218</v>
      </c>
      <c r="F507" t="inlineStr">
        <is>
          <t>KRONOBERGS LÄN</t>
        </is>
      </c>
      <c r="G507" t="inlineStr">
        <is>
          <t>TINGSRYD</t>
        </is>
      </c>
      <c r="H507" t="inlineStr">
        <is>
          <t>Övriga Aktiebolag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45393-2024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45576</v>
      </c>
      <c r="E508" s="1" t="n">
        <v>46218</v>
      </c>
      <c r="F508" t="inlineStr">
        <is>
          <t>KRONOBERGS LÄN</t>
        </is>
      </c>
      <c r="G508" t="inlineStr">
        <is>
          <t>TINGSRYD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42390-2024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45565</v>
      </c>
      <c r="E509" s="1" t="n">
        <v>46218</v>
      </c>
      <c r="F509" t="inlineStr">
        <is>
          <t>KRONOBERGS LÄN</t>
        </is>
      </c>
      <c r="G509" t="inlineStr">
        <is>
          <t>TINGSRYD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41746-2021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44425</v>
      </c>
      <c r="E510" s="1" t="n">
        <v>46218</v>
      </c>
      <c r="F510" t="inlineStr">
        <is>
          <t>KRONOBERGS LÄN</t>
        </is>
      </c>
      <c r="G510" t="inlineStr">
        <is>
          <t>TINGSRYD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34247-2024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45524</v>
      </c>
      <c r="E511" s="1" t="n">
        <v>46218</v>
      </c>
      <c r="F511" t="inlineStr">
        <is>
          <t>KRONOBERGS LÄN</t>
        </is>
      </c>
      <c r="G511" t="inlineStr">
        <is>
          <t>TINGSRYD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39747-2024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45552</v>
      </c>
      <c r="E512" s="1" t="n">
        <v>46218</v>
      </c>
      <c r="F512" t="inlineStr">
        <is>
          <t>KRONOBERGS LÄN</t>
        </is>
      </c>
      <c r="G512" t="inlineStr">
        <is>
          <t>TINGSRYD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1534-2025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45670</v>
      </c>
      <c r="E513" s="1" t="n">
        <v>46218</v>
      </c>
      <c r="F513" t="inlineStr">
        <is>
          <t>KRONOBERGS LÄN</t>
        </is>
      </c>
      <c r="G513" t="inlineStr">
        <is>
          <t>TINGSRYD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29516-2022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44753</v>
      </c>
      <c r="E514" s="1" t="n">
        <v>46218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14918-2022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44657</v>
      </c>
      <c r="E515" s="1" t="n">
        <v>46218</v>
      </c>
      <c r="F515" t="inlineStr">
        <is>
          <t>KRONOBERGS LÄN</t>
        </is>
      </c>
      <c r="G515" t="inlineStr">
        <is>
          <t>TINGSRYD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14396-2024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45394</v>
      </c>
      <c r="E516" s="1" t="n">
        <v>46218</v>
      </c>
      <c r="F516" t="inlineStr">
        <is>
          <t>KRONOBERGS LÄN</t>
        </is>
      </c>
      <c r="G516" t="inlineStr">
        <is>
          <t>TINGSRYD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57382-2024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46218</v>
      </c>
      <c r="F517" t="inlineStr">
        <is>
          <t>KRONOBERGS LÄN</t>
        </is>
      </c>
      <c r="G517" t="inlineStr">
        <is>
          <t>TINGSRYD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21157-2023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45062</v>
      </c>
      <c r="E518" s="1" t="n">
        <v>46218</v>
      </c>
      <c r="F518" t="inlineStr">
        <is>
          <t>KRONOBERGS LÄN</t>
        </is>
      </c>
      <c r="G518" t="inlineStr">
        <is>
          <t>TINGSRYD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23632-2023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45077</v>
      </c>
      <c r="E519" s="1" t="n">
        <v>46218</v>
      </c>
      <c r="F519" t="inlineStr">
        <is>
          <t>KRONOBERGS LÄN</t>
        </is>
      </c>
      <c r="G519" t="inlineStr">
        <is>
          <t>TINGSRYD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16536-2023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45029</v>
      </c>
      <c r="E520" s="1" t="n">
        <v>46218</v>
      </c>
      <c r="F520" t="inlineStr">
        <is>
          <t>KRONOBERGS LÄN</t>
        </is>
      </c>
      <c r="G520" t="inlineStr">
        <is>
          <t>TINGSRYD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7189-2025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45702</v>
      </c>
      <c r="E521" s="1" t="n">
        <v>46218</v>
      </c>
      <c r="F521" t="inlineStr">
        <is>
          <t>KRONOBERGS LÄN</t>
        </is>
      </c>
      <c r="G521" t="inlineStr">
        <is>
          <t>TINGSRYD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4570-2024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45327</v>
      </c>
      <c r="E522" s="1" t="n">
        <v>46218</v>
      </c>
      <c r="F522" t="inlineStr">
        <is>
          <t>KRONOBERGS LÄN</t>
        </is>
      </c>
      <c r="G522" t="inlineStr">
        <is>
          <t>TINGSRYD</t>
        </is>
      </c>
      <c r="H522" t="inlineStr">
        <is>
          <t>Sveaskog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31066-2022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44769</v>
      </c>
      <c r="E523" s="1" t="n">
        <v>46218</v>
      </c>
      <c r="F523" t="inlineStr">
        <is>
          <t>KRONOBERGS LÄN</t>
        </is>
      </c>
      <c r="G523" t="inlineStr">
        <is>
          <t>TINGSRYD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50212-2024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45600</v>
      </c>
      <c r="E524" s="1" t="n">
        <v>46218</v>
      </c>
      <c r="F524" t="inlineStr">
        <is>
          <t>KRONOBERGS LÄN</t>
        </is>
      </c>
      <c r="G524" t="inlineStr">
        <is>
          <t>TINGSRYD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54146-2025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45964</v>
      </c>
      <c r="E525" s="1" t="n">
        <v>46218</v>
      </c>
      <c r="F525" t="inlineStr">
        <is>
          <t>KRONOBERGS LÄN</t>
        </is>
      </c>
      <c r="G525" t="inlineStr">
        <is>
          <t>TINGSRYD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42752-2021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44428</v>
      </c>
      <c r="E526" s="1" t="n">
        <v>46218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45331</v>
      </c>
      <c r="E527" s="1" t="n">
        <v>46218</v>
      </c>
      <c r="F527" t="inlineStr">
        <is>
          <t>KRONOBERGS LÄN</t>
        </is>
      </c>
      <c r="G527" t="inlineStr">
        <is>
          <t>TINGSRYD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23823-2025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45793</v>
      </c>
      <c r="E528" s="1" t="n">
        <v>46218</v>
      </c>
      <c r="F528" t="inlineStr">
        <is>
          <t>KRONOBERGS LÄN</t>
        </is>
      </c>
      <c r="G528" t="inlineStr">
        <is>
          <t>TINGSRYD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23830-2025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45793</v>
      </c>
      <c r="E529" s="1" t="n">
        <v>46218</v>
      </c>
      <c r="F529" t="inlineStr">
        <is>
          <t>KRONOBERGS LÄN</t>
        </is>
      </c>
      <c r="G529" t="inlineStr">
        <is>
          <t>TINGSRYD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23828-2025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45793</v>
      </c>
      <c r="E530" s="1" t="n">
        <v>46218</v>
      </c>
      <c r="F530" t="inlineStr">
        <is>
          <t>KRONOBERGS LÄN</t>
        </is>
      </c>
      <c r="G530" t="inlineStr">
        <is>
          <t>TINGSRYD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23838-2025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45793</v>
      </c>
      <c r="E531" s="1" t="n">
        <v>46218</v>
      </c>
      <c r="F531" t="inlineStr">
        <is>
          <t>KRONOBERGS LÄN</t>
        </is>
      </c>
      <c r="G531" t="inlineStr">
        <is>
          <t>TINGSRYD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61462-2022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46218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13182-2023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45002</v>
      </c>
      <c r="E533" s="1" t="n">
        <v>46218</v>
      </c>
      <c r="F533" t="inlineStr">
        <is>
          <t>KRONOBERGS LÄN</t>
        </is>
      </c>
      <c r="G533" t="inlineStr">
        <is>
          <t>TINGSRYD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13186-2023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45002</v>
      </c>
      <c r="E534" s="1" t="n">
        <v>46218</v>
      </c>
      <c r="F534" t="inlineStr">
        <is>
          <t>KRONOBERGS LÄN</t>
        </is>
      </c>
      <c r="G534" t="inlineStr">
        <is>
          <t>TINGSRYD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57430-2021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44483</v>
      </c>
      <c r="E535" s="1" t="n">
        <v>46218</v>
      </c>
      <c r="F535" t="inlineStr">
        <is>
          <t>KRONOBERGS LÄN</t>
        </is>
      </c>
      <c r="G535" t="inlineStr">
        <is>
          <t>TINGSRYD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20858-2024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45439</v>
      </c>
      <c r="E536" s="1" t="n">
        <v>46218</v>
      </c>
      <c r="F536" t="inlineStr">
        <is>
          <t>KRONOBERGS LÄN</t>
        </is>
      </c>
      <c r="G536" t="inlineStr">
        <is>
          <t>TINGSRYD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24981-2023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45085</v>
      </c>
      <c r="E537" s="1" t="n">
        <v>46218</v>
      </c>
      <c r="F537" t="inlineStr">
        <is>
          <t>KRONOBERGS LÄN</t>
        </is>
      </c>
      <c r="G537" t="inlineStr">
        <is>
          <t>TINGSRYD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14387-2024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45394</v>
      </c>
      <c r="E538" s="1" t="n">
        <v>46218</v>
      </c>
      <c r="F538" t="inlineStr">
        <is>
          <t>KRONOBERGS LÄN</t>
        </is>
      </c>
      <c r="G538" t="inlineStr">
        <is>
          <t>TINGSRYD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54229-2021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44470</v>
      </c>
      <c r="E539" s="1" t="n">
        <v>46218</v>
      </c>
      <c r="F539" t="inlineStr">
        <is>
          <t>KRONOBERGS LÄN</t>
        </is>
      </c>
      <c r="G539" t="inlineStr">
        <is>
          <t>TINGSRYD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41772-2023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45176</v>
      </c>
      <c r="E540" s="1" t="n">
        <v>46218</v>
      </c>
      <c r="F540" t="inlineStr">
        <is>
          <t>KRONOBERGS LÄN</t>
        </is>
      </c>
      <c r="G540" t="inlineStr">
        <is>
          <t>TINGSRYD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11934-2023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44995</v>
      </c>
      <c r="E541" s="1" t="n">
        <v>46218</v>
      </c>
      <c r="F541" t="inlineStr">
        <is>
          <t>KRONOBERGS LÄN</t>
        </is>
      </c>
      <c r="G541" t="inlineStr">
        <is>
          <t>TINGSRYD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27545-2023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45097</v>
      </c>
      <c r="E542" s="1" t="n">
        <v>46218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33354-2023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46218</v>
      </c>
      <c r="F543" t="inlineStr">
        <is>
          <t>KRONOBERGS LÄN</t>
        </is>
      </c>
      <c r="G543" t="inlineStr">
        <is>
          <t>TINGSRYD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33437-2023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45129</v>
      </c>
      <c r="E544" s="1" t="n">
        <v>46218</v>
      </c>
      <c r="F544" t="inlineStr">
        <is>
          <t>KRONOBERGS LÄN</t>
        </is>
      </c>
      <c r="G544" t="inlineStr">
        <is>
          <t>TINGSRYD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38925-2024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46218</v>
      </c>
      <c r="F545" t="inlineStr">
        <is>
          <t>KRONOBERGS LÄN</t>
        </is>
      </c>
      <c r="G545" t="inlineStr">
        <is>
          <t>TINGSRYD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54728-2022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44883</v>
      </c>
      <c r="E546" s="1" t="n">
        <v>46218</v>
      </c>
      <c r="F546" t="inlineStr">
        <is>
          <t>KRONOBERGS LÄN</t>
        </is>
      </c>
      <c r="G546" t="inlineStr">
        <is>
          <t>TINGSRYD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32523-2023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45121</v>
      </c>
      <c r="E547" s="1" t="n">
        <v>46218</v>
      </c>
      <c r="F547" t="inlineStr">
        <is>
          <t>KRONOBERGS LÄN</t>
        </is>
      </c>
      <c r="G547" t="inlineStr">
        <is>
          <t>TINGSRYD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36274-2023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45152</v>
      </c>
      <c r="E548" s="1" t="n">
        <v>46218</v>
      </c>
      <c r="F548" t="inlineStr">
        <is>
          <t>KRONOBERGS LÄN</t>
        </is>
      </c>
      <c r="G548" t="inlineStr">
        <is>
          <t>TINGSRYD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44751-2024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45574</v>
      </c>
      <c r="E549" s="1" t="n">
        <v>46218</v>
      </c>
      <c r="F549" t="inlineStr">
        <is>
          <t>KRONOBERGS LÄN</t>
        </is>
      </c>
      <c r="G549" t="inlineStr">
        <is>
          <t>TINGSRYD</t>
        </is>
      </c>
      <c r="I549" t="n">
        <v>10.6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9815-2023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44984</v>
      </c>
      <c r="E550" s="1" t="n">
        <v>46218</v>
      </c>
      <c r="F550" t="inlineStr">
        <is>
          <t>KRONOBERGS LÄN</t>
        </is>
      </c>
      <c r="G550" t="inlineStr">
        <is>
          <t>TINGSRYD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28226-2024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45477</v>
      </c>
      <c r="E551" s="1" t="n">
        <v>46218</v>
      </c>
      <c r="F551" t="inlineStr">
        <is>
          <t>KRONOBERGS LÄN</t>
        </is>
      </c>
      <c r="G551" t="inlineStr">
        <is>
          <t>TINGSRYD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44930</v>
      </c>
      <c r="E552" s="1" t="n">
        <v>46218</v>
      </c>
      <c r="F552" t="inlineStr">
        <is>
          <t>KRONOBERGS LÄN</t>
        </is>
      </c>
      <c r="G552" t="inlineStr">
        <is>
          <t>TINGSRYD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35854-2024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46218</v>
      </c>
      <c r="F553" t="inlineStr">
        <is>
          <t>KRONOBERGS LÄN</t>
        </is>
      </c>
      <c r="G553" t="inlineStr">
        <is>
          <t>TINGSRYD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58566-2024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46218</v>
      </c>
      <c r="F554" t="inlineStr">
        <is>
          <t>KRONOBERGS LÄN</t>
        </is>
      </c>
      <c r="G554" t="inlineStr">
        <is>
          <t>TINGSRYD</t>
        </is>
      </c>
      <c r="H554" t="inlineStr">
        <is>
          <t>Övriga Aktiebolag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5265-2025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45692</v>
      </c>
      <c r="E555" s="1" t="n">
        <v>46218</v>
      </c>
      <c r="F555" t="inlineStr">
        <is>
          <t>KRONOBERGS LÄN</t>
        </is>
      </c>
      <c r="G555" t="inlineStr">
        <is>
          <t>TINGSRYD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17063-2023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45034</v>
      </c>
      <c r="E556" s="1" t="n">
        <v>46218</v>
      </c>
      <c r="F556" t="inlineStr">
        <is>
          <t>KRONOBERGS LÄN</t>
        </is>
      </c>
      <c r="G556" t="inlineStr">
        <is>
          <t>TINGSRYD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28843-2024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45478</v>
      </c>
      <c r="E557" s="1" t="n">
        <v>46218</v>
      </c>
      <c r="F557" t="inlineStr">
        <is>
          <t>KRONOBERGS LÄN</t>
        </is>
      </c>
      <c r="G557" t="inlineStr">
        <is>
          <t>TINGSRYD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44930</v>
      </c>
      <c r="E558" s="1" t="n">
        <v>46218</v>
      </c>
      <c r="F558" t="inlineStr">
        <is>
          <t>KRONOBERGS LÄN</t>
        </is>
      </c>
      <c r="G558" t="inlineStr">
        <is>
          <t>TINGSRYD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13322-2023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45005</v>
      </c>
      <c r="E559" s="1" t="n">
        <v>46218</v>
      </c>
      <c r="F559" t="inlineStr">
        <is>
          <t>KRONOBERGS LÄN</t>
        </is>
      </c>
      <c r="G559" t="inlineStr">
        <is>
          <t>TINGSRYD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13340-2023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45005</v>
      </c>
      <c r="E560" s="1" t="n">
        <v>46218</v>
      </c>
      <c r="F560" t="inlineStr">
        <is>
          <t>KRONOBERGS LÄN</t>
        </is>
      </c>
      <c r="G560" t="inlineStr">
        <is>
          <t>TINGSRYD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45684</v>
      </c>
      <c r="E561" s="1" t="n">
        <v>46218</v>
      </c>
      <c r="F561" t="inlineStr">
        <is>
          <t>KRONOBERGS LÄN</t>
        </is>
      </c>
      <c r="G561" t="inlineStr">
        <is>
          <t>TINGSRYD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59088-2024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46218</v>
      </c>
      <c r="F562" t="inlineStr">
        <is>
          <t>KRONOBERGS LÄN</t>
        </is>
      </c>
      <c r="G562" t="inlineStr">
        <is>
          <t>TINGSRYD</t>
        </is>
      </c>
      <c r="H562" t="inlineStr">
        <is>
          <t>Övriga Aktiebolag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1994-2023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44938</v>
      </c>
      <c r="E563" s="1" t="n">
        <v>46218</v>
      </c>
      <c r="F563" t="inlineStr">
        <is>
          <t>KRONOBERGS LÄN</t>
        </is>
      </c>
      <c r="G563" t="inlineStr">
        <is>
          <t>TINGSRYD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54136-2022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44881</v>
      </c>
      <c r="E564" s="1" t="n">
        <v>46218</v>
      </c>
      <c r="F564" t="inlineStr">
        <is>
          <t>KRONOBERGS LÄN</t>
        </is>
      </c>
      <c r="G564" t="inlineStr">
        <is>
          <t>TINGSRYD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5207-2024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45330</v>
      </c>
      <c r="E565" s="1" t="n">
        <v>46218</v>
      </c>
      <c r="F565" t="inlineStr">
        <is>
          <t>KRONOBERGS LÄN</t>
        </is>
      </c>
      <c r="G565" t="inlineStr">
        <is>
          <t>TINGSRYD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3818-2023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44951</v>
      </c>
      <c r="E566" s="1" t="n">
        <v>46218</v>
      </c>
      <c r="F566" t="inlineStr">
        <is>
          <t>KRONOBERGS LÄN</t>
        </is>
      </c>
      <c r="G566" t="inlineStr">
        <is>
          <t>TINGSRYD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73272-2021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44550</v>
      </c>
      <c r="E567" s="1" t="n">
        <v>46218</v>
      </c>
      <c r="F567" t="inlineStr">
        <is>
          <t>KRONOBERGS LÄN</t>
        </is>
      </c>
      <c r="G567" t="inlineStr">
        <is>
          <t>TINGSRYD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17518-2023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46218</v>
      </c>
      <c r="F568" t="inlineStr">
        <is>
          <t>KRONOBERGS LÄN</t>
        </is>
      </c>
      <c r="G568" t="inlineStr">
        <is>
          <t>TINGSRYD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72450-2021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46218</v>
      </c>
      <c r="F569" t="inlineStr">
        <is>
          <t>KRONOBERGS LÄN</t>
        </is>
      </c>
      <c r="G569" t="inlineStr">
        <is>
          <t>TINGSRYD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11541-2025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45727</v>
      </c>
      <c r="E570" s="1" t="n">
        <v>46218</v>
      </c>
      <c r="F570" t="inlineStr">
        <is>
          <t>KRONOBERGS LÄN</t>
        </is>
      </c>
      <c r="G570" t="inlineStr">
        <is>
          <t>TINGSRYD</t>
        </is>
      </c>
      <c r="I570" t="n">
        <v>10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47550-2023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45203</v>
      </c>
      <c r="E571" s="1" t="n">
        <v>46218</v>
      </c>
      <c r="F571" t="inlineStr">
        <is>
          <t>KRONOBERGS LÄN</t>
        </is>
      </c>
      <c r="G571" t="inlineStr">
        <is>
          <t>TINGSRYD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60979-2023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45261</v>
      </c>
      <c r="E572" s="1" t="n">
        <v>46218</v>
      </c>
      <c r="F572" t="inlineStr">
        <is>
          <t>KRONOBERGS LÄN</t>
        </is>
      </c>
      <c r="G572" t="inlineStr">
        <is>
          <t>TINGSRYD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60214-2021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44495</v>
      </c>
      <c r="E573" s="1" t="n">
        <v>46218</v>
      </c>
      <c r="F573" t="inlineStr">
        <is>
          <t>KRONOBERGS LÄN</t>
        </is>
      </c>
      <c r="G573" t="inlineStr">
        <is>
          <t>TINGSRYD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19124-2022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44691</v>
      </c>
      <c r="E574" s="1" t="n">
        <v>46218</v>
      </c>
      <c r="F574" t="inlineStr">
        <is>
          <t>KRONOBERGS LÄN</t>
        </is>
      </c>
      <c r="G574" t="inlineStr">
        <is>
          <t>TINGSRYD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36890-2023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45154</v>
      </c>
      <c r="E575" s="1" t="n">
        <v>46218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19380-2024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45429</v>
      </c>
      <c r="E576" s="1" t="n">
        <v>46218</v>
      </c>
      <c r="F576" t="inlineStr">
        <is>
          <t>KRONOBERGS LÄN</t>
        </is>
      </c>
      <c r="G576" t="inlineStr">
        <is>
          <t>TINGSRYD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11496-2023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46218</v>
      </c>
      <c r="F577" t="inlineStr">
        <is>
          <t>KRONOBERGS LÄN</t>
        </is>
      </c>
      <c r="G577" t="inlineStr">
        <is>
          <t>TINGSRYD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29706-2023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45107</v>
      </c>
      <c r="E578" s="1" t="n">
        <v>46218</v>
      </c>
      <c r="F578" t="inlineStr">
        <is>
          <t>KRONOBERGS LÄN</t>
        </is>
      </c>
      <c r="G578" t="inlineStr">
        <is>
          <t>TINGSRYD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72446-2021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44545</v>
      </c>
      <c r="E579" s="1" t="n">
        <v>46218</v>
      </c>
      <c r="F579" t="inlineStr">
        <is>
          <t>KRONOBERGS LÄN</t>
        </is>
      </c>
      <c r="G579" t="inlineStr">
        <is>
          <t>TINGSRYD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5223-2025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45691</v>
      </c>
      <c r="E580" s="1" t="n">
        <v>46218</v>
      </c>
      <c r="F580" t="inlineStr">
        <is>
          <t>KRONOBERGS LÄN</t>
        </is>
      </c>
      <c r="G580" t="inlineStr">
        <is>
          <t>TINGSRYD</t>
        </is>
      </c>
      <c r="H580" t="inlineStr">
        <is>
          <t>Sveaskog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26421-2024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46218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26983-2025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46218</v>
      </c>
      <c r="F582" t="inlineStr">
        <is>
          <t>KRONOBERGS LÄN</t>
        </is>
      </c>
      <c r="G582" t="inlineStr">
        <is>
          <t>TINGSRYD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29588-2023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45106</v>
      </c>
      <c r="E583" s="1" t="n">
        <v>46218</v>
      </c>
      <c r="F583" t="inlineStr">
        <is>
          <t>KRONOBERGS LÄN</t>
        </is>
      </c>
      <c r="G583" t="inlineStr">
        <is>
          <t>TINGSRYD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61117-2023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45261</v>
      </c>
      <c r="E584" s="1" t="n">
        <v>46218</v>
      </c>
      <c r="F584" t="inlineStr">
        <is>
          <t>KRONOBERGS LÄN</t>
        </is>
      </c>
      <c r="G584" t="inlineStr">
        <is>
          <t>TINGSRYD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57962-2023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45247</v>
      </c>
      <c r="E585" s="1" t="n">
        <v>46218</v>
      </c>
      <c r="F585" t="inlineStr">
        <is>
          <t>KRONOBERGS LÄN</t>
        </is>
      </c>
      <c r="G585" t="inlineStr">
        <is>
          <t>TINGSRYD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19310-2023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45049</v>
      </c>
      <c r="E586" s="1" t="n">
        <v>46218</v>
      </c>
      <c r="F586" t="inlineStr">
        <is>
          <t>KRONOBERGS LÄN</t>
        </is>
      </c>
      <c r="G586" t="inlineStr">
        <is>
          <t>TINGSRYD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21234-2022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44705</v>
      </c>
      <c r="E587" s="1" t="n">
        <v>46218</v>
      </c>
      <c r="F587" t="inlineStr">
        <is>
          <t>KRONOBERGS LÄN</t>
        </is>
      </c>
      <c r="G587" t="inlineStr">
        <is>
          <t>TINGSRYD</t>
        </is>
      </c>
      <c r="I587" t="n">
        <v>14.9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52430-2024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45609</v>
      </c>
      <c r="E588" s="1" t="n">
        <v>46218</v>
      </c>
      <c r="F588" t="inlineStr">
        <is>
          <t>KRONOBERGS LÄN</t>
        </is>
      </c>
      <c r="G588" t="inlineStr">
        <is>
          <t>TINGSRYD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8520-2025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45709</v>
      </c>
      <c r="E589" s="1" t="n">
        <v>46218</v>
      </c>
      <c r="F589" t="inlineStr">
        <is>
          <t>KRONOBERGS LÄN</t>
        </is>
      </c>
      <c r="G589" t="inlineStr">
        <is>
          <t>TINGSRYD</t>
        </is>
      </c>
      <c r="H589" t="inlineStr">
        <is>
          <t>Övriga Aktiebolag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55759-2025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45972</v>
      </c>
      <c r="E590" s="1" t="n">
        <v>46218</v>
      </c>
      <c r="F590" t="inlineStr">
        <is>
          <t>KRONOBERGS LÄN</t>
        </is>
      </c>
      <c r="G590" t="inlineStr">
        <is>
          <t>TINGSRYD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7797-2024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46218</v>
      </c>
      <c r="F591" t="inlineStr">
        <is>
          <t>KRONOBERGS LÄN</t>
        </is>
      </c>
      <c r="G591" t="inlineStr">
        <is>
          <t>TINGSRYD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40487-2023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45170</v>
      </c>
      <c r="E592" s="1" t="n">
        <v>46218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56861-2021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44481</v>
      </c>
      <c r="E593" s="1" t="n">
        <v>46218</v>
      </c>
      <c r="F593" t="inlineStr">
        <is>
          <t>KRONOBERGS LÄN</t>
        </is>
      </c>
      <c r="G593" t="inlineStr">
        <is>
          <t>TINGSRYD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44945</v>
      </c>
      <c r="E594" s="1" t="n">
        <v>46218</v>
      </c>
      <c r="F594" t="inlineStr">
        <is>
          <t>KRONOBERGS LÄN</t>
        </is>
      </c>
      <c r="G594" t="inlineStr">
        <is>
          <t>TINGSRYD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3311-2023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44949</v>
      </c>
      <c r="E595" s="1" t="n">
        <v>46218</v>
      </c>
      <c r="F595" t="inlineStr">
        <is>
          <t>KRONOBERGS LÄN</t>
        </is>
      </c>
      <c r="G595" t="inlineStr">
        <is>
          <t>TINGSRYD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42522-2022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44831</v>
      </c>
      <c r="E596" s="1" t="n">
        <v>46218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42526-2022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44831</v>
      </c>
      <c r="E597" s="1" t="n">
        <v>46218</v>
      </c>
      <c r="F597" t="inlineStr">
        <is>
          <t>KRONOBERGS LÄN</t>
        </is>
      </c>
      <c r="G597" t="inlineStr">
        <is>
          <t>TINGSRYD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5474-2023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46218</v>
      </c>
      <c r="F598" t="inlineStr">
        <is>
          <t>KRONOBERGS LÄN</t>
        </is>
      </c>
      <c r="G598" t="inlineStr">
        <is>
          <t>TINGSRYD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8777-2024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45356</v>
      </c>
      <c r="E599" s="1" t="n">
        <v>46218</v>
      </c>
      <c r="F599" t="inlineStr">
        <is>
          <t>KRONOBERGS LÄN</t>
        </is>
      </c>
      <c r="G599" t="inlineStr">
        <is>
          <t>TINGSRYD</t>
        </is>
      </c>
      <c r="H599" t="inlineStr">
        <is>
          <t>Övriga Aktiebolag</t>
        </is>
      </c>
      <c r="I599" t="n">
        <v>7.3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57020-2025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45978</v>
      </c>
      <c r="E600" s="1" t="n">
        <v>46218</v>
      </c>
      <c r="F600" t="inlineStr">
        <is>
          <t>KRONOBERGS LÄN</t>
        </is>
      </c>
      <c r="G600" t="inlineStr">
        <is>
          <t>TINGSRYD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57258-2025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46218</v>
      </c>
      <c r="F601" t="inlineStr">
        <is>
          <t>KRONOBERGS LÄN</t>
        </is>
      </c>
      <c r="G601" t="inlineStr">
        <is>
          <t>TINGSRYD</t>
        </is>
      </c>
      <c r="I601" t="n">
        <v>7.3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55454-2023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45238</v>
      </c>
      <c r="E602" s="1" t="n">
        <v>46218</v>
      </c>
      <c r="F602" t="inlineStr">
        <is>
          <t>KRONOBERGS LÄN</t>
        </is>
      </c>
      <c r="G602" t="inlineStr">
        <is>
          <t>TINGSRYD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46470-2023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46218</v>
      </c>
      <c r="F603" t="inlineStr">
        <is>
          <t>KRONOBERGS LÄN</t>
        </is>
      </c>
      <c r="G603" t="inlineStr">
        <is>
          <t>TINGSRYD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17527-2023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45036</v>
      </c>
      <c r="E604" s="1" t="n">
        <v>46218</v>
      </c>
      <c r="F604" t="inlineStr">
        <is>
          <t>KRONOBERGS LÄN</t>
        </is>
      </c>
      <c r="G604" t="inlineStr">
        <is>
          <t>TINGSRYD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23821-2025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45793</v>
      </c>
      <c r="E605" s="1" t="n">
        <v>46218</v>
      </c>
      <c r="F605" t="inlineStr">
        <is>
          <t>KRONOBERGS LÄN</t>
        </is>
      </c>
      <c r="G605" t="inlineStr">
        <is>
          <t>TINGSRYD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28732-2025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45820</v>
      </c>
      <c r="E606" s="1" t="n">
        <v>46218</v>
      </c>
      <c r="F606" t="inlineStr">
        <is>
          <t>KRONOBERGS LÄN</t>
        </is>
      </c>
      <c r="G606" t="inlineStr">
        <is>
          <t>TINGSRYD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57440-2025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45980</v>
      </c>
      <c r="E607" s="1" t="n">
        <v>46218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13890-2023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45007</v>
      </c>
      <c r="E608" s="1" t="n">
        <v>46218</v>
      </c>
      <c r="F608" t="inlineStr">
        <is>
          <t>KRONOBERGS LÄN</t>
        </is>
      </c>
      <c r="G608" t="inlineStr">
        <is>
          <t>TINGSRYD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16478-2024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45408</v>
      </c>
      <c r="E609" s="1" t="n">
        <v>46218</v>
      </c>
      <c r="F609" t="inlineStr">
        <is>
          <t>KRONOBERGS LÄN</t>
        </is>
      </c>
      <c r="G609" t="inlineStr">
        <is>
          <t>TINGSRYD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10763-2022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44627</v>
      </c>
      <c r="E610" s="1" t="n">
        <v>46218</v>
      </c>
      <c r="F610" t="inlineStr">
        <is>
          <t>KRONOBERGS LÄN</t>
        </is>
      </c>
      <c r="G610" t="inlineStr">
        <is>
          <t>TINGSRYD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50635-2024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45601</v>
      </c>
      <c r="E611" s="1" t="n">
        <v>46218</v>
      </c>
      <c r="F611" t="inlineStr">
        <is>
          <t>KRONOBERGS LÄN</t>
        </is>
      </c>
      <c r="G611" t="inlineStr">
        <is>
          <t>TINGSRYD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57959-2025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45982</v>
      </c>
      <c r="E612" s="1" t="n">
        <v>46218</v>
      </c>
      <c r="F612" t="inlineStr">
        <is>
          <t>KRONOBERGS LÄN</t>
        </is>
      </c>
      <c r="G612" t="inlineStr">
        <is>
          <t>TINGSRYD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38528-2024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45546</v>
      </c>
      <c r="E613" s="1" t="n">
        <v>46218</v>
      </c>
      <c r="F613" t="inlineStr">
        <is>
          <t>KRONOBERGS LÄN</t>
        </is>
      </c>
      <c r="G613" t="inlineStr">
        <is>
          <t>TINGSRYD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1707-2024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45307</v>
      </c>
      <c r="E614" s="1" t="n">
        <v>46218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39485-2025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45890</v>
      </c>
      <c r="E615" s="1" t="n">
        <v>46218</v>
      </c>
      <c r="F615" t="inlineStr">
        <is>
          <t>KRONOBERGS LÄN</t>
        </is>
      </c>
      <c r="G615" t="inlineStr">
        <is>
          <t>TINGSRYD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30230-2025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45827</v>
      </c>
      <c r="E616" s="1" t="n">
        <v>46218</v>
      </c>
      <c r="F616" t="inlineStr">
        <is>
          <t>KRONOBERGS LÄN</t>
        </is>
      </c>
      <c r="G616" t="inlineStr">
        <is>
          <t>TINGSRYD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41998-2025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46218</v>
      </c>
      <c r="F617" t="inlineStr">
        <is>
          <t>KRONOBERGS LÄN</t>
        </is>
      </c>
      <c r="G617" t="inlineStr">
        <is>
          <t>TINGSRYD</t>
        </is>
      </c>
      <c r="H617" t="inlineStr">
        <is>
          <t>Övriga Aktiebolag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40016-2024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45553</v>
      </c>
      <c r="E618" s="1" t="n">
        <v>46218</v>
      </c>
      <c r="F618" t="inlineStr">
        <is>
          <t>KRONOBERGS LÄN</t>
        </is>
      </c>
      <c r="G618" t="inlineStr">
        <is>
          <t>TINGSRYD</t>
        </is>
      </c>
      <c r="H618" t="inlineStr">
        <is>
          <t>Sveaskog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25052-2024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45462</v>
      </c>
      <c r="E619" s="1" t="n">
        <v>46218</v>
      </c>
      <c r="F619" t="inlineStr">
        <is>
          <t>KRONOBERGS LÄN</t>
        </is>
      </c>
      <c r="G619" t="inlineStr">
        <is>
          <t>TINGSRYD</t>
        </is>
      </c>
      <c r="I619" t="n">
        <v>0.1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37393-2024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45540</v>
      </c>
      <c r="E620" s="1" t="n">
        <v>46218</v>
      </c>
      <c r="F620" t="inlineStr">
        <is>
          <t>KRONOBERGS LÄN</t>
        </is>
      </c>
      <c r="G620" t="inlineStr">
        <is>
          <t>TINGSRYD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37424-2024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45540</v>
      </c>
      <c r="E621" s="1" t="n">
        <v>46218</v>
      </c>
      <c r="F621" t="inlineStr">
        <is>
          <t>KRONOBERGS LÄN</t>
        </is>
      </c>
      <c r="G621" t="inlineStr">
        <is>
          <t>TINGSRYD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52077-2021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44463</v>
      </c>
      <c r="E622" s="1" t="n">
        <v>46218</v>
      </c>
      <c r="F622" t="inlineStr">
        <is>
          <t>KRONOBERGS LÄN</t>
        </is>
      </c>
      <c r="G622" t="inlineStr">
        <is>
          <t>TINGSRYD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40856-2025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45897</v>
      </c>
      <c r="E623" s="1" t="n">
        <v>46218</v>
      </c>
      <c r="F623" t="inlineStr">
        <is>
          <t>KRONOBERGS LÄN</t>
        </is>
      </c>
      <c r="G623" t="inlineStr">
        <is>
          <t>TINGSRYD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14583-2025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45742</v>
      </c>
      <c r="E624" s="1" t="n">
        <v>46218</v>
      </c>
      <c r="F624" t="inlineStr">
        <is>
          <t>KRONOBERGS LÄN</t>
        </is>
      </c>
      <c r="G624" t="inlineStr">
        <is>
          <t>TINGSRYD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733-2024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45300</v>
      </c>
      <c r="E625" s="1" t="n">
        <v>46218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30840-2025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45831</v>
      </c>
      <c r="E626" s="1" t="n">
        <v>46218</v>
      </c>
      <c r="F626" t="inlineStr">
        <is>
          <t>KRONOBERGS LÄN</t>
        </is>
      </c>
      <c r="G626" t="inlineStr">
        <is>
          <t>TINGSRYD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30842-2025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45831</v>
      </c>
      <c r="E627" s="1" t="n">
        <v>46218</v>
      </c>
      <c r="F627" t="inlineStr">
        <is>
          <t>KRONOBERGS LÄN</t>
        </is>
      </c>
      <c r="G627" t="inlineStr">
        <is>
          <t>TINGSRYD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31765-2025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45834</v>
      </c>
      <c r="E628" s="1" t="n">
        <v>46218</v>
      </c>
      <c r="F628" t="inlineStr">
        <is>
          <t>KRONOBERGS LÄN</t>
        </is>
      </c>
      <c r="G628" t="inlineStr">
        <is>
          <t>TINGSRYD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31002-2025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46218</v>
      </c>
      <c r="F629" t="inlineStr">
        <is>
          <t>KRONOBERGS LÄN</t>
        </is>
      </c>
      <c r="G629" t="inlineStr">
        <is>
          <t>TINGSRYD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42765-2025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45908</v>
      </c>
      <c r="E630" s="1" t="n">
        <v>46218</v>
      </c>
      <c r="F630" t="inlineStr">
        <is>
          <t>KRONOBERGS LÄN</t>
        </is>
      </c>
      <c r="G630" t="inlineStr">
        <is>
          <t>TINGSRYD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7989-2022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44609</v>
      </c>
      <c r="E631" s="1" t="n">
        <v>46218</v>
      </c>
      <c r="F631" t="inlineStr">
        <is>
          <t>KRONOBERGS LÄN</t>
        </is>
      </c>
      <c r="G631" t="inlineStr">
        <is>
          <t>TINGSRYD</t>
        </is>
      </c>
      <c r="H631" t="inlineStr">
        <is>
          <t>Kommuner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1928-2023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44939</v>
      </c>
      <c r="E632" s="1" t="n">
        <v>46218</v>
      </c>
      <c r="F632" t="inlineStr">
        <is>
          <t>KRONOBERGS LÄN</t>
        </is>
      </c>
      <c r="G632" t="inlineStr">
        <is>
          <t>TINGSRYD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48157-2025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45933</v>
      </c>
      <c r="E633" s="1" t="n">
        <v>46218</v>
      </c>
      <c r="F633" t="inlineStr">
        <is>
          <t>KRONOBERGS LÄN</t>
        </is>
      </c>
      <c r="G633" t="inlineStr">
        <is>
          <t>TINGSRYD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57111-2022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44895</v>
      </c>
      <c r="E634" s="1" t="n">
        <v>46218</v>
      </c>
      <c r="F634" t="inlineStr">
        <is>
          <t>KRONOBERGS LÄN</t>
        </is>
      </c>
      <c r="G634" t="inlineStr">
        <is>
          <t>TINGSRYD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17130-2025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45755</v>
      </c>
      <c r="E635" s="1" t="n">
        <v>46218</v>
      </c>
      <c r="F635" t="inlineStr">
        <is>
          <t>KRONOBERGS LÄN</t>
        </is>
      </c>
      <c r="G635" t="inlineStr">
        <is>
          <t>TINGSRYD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61461-2022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44916</v>
      </c>
      <c r="E636" s="1" t="n">
        <v>46218</v>
      </c>
      <c r="F636" t="inlineStr">
        <is>
          <t>KRONOBERGS LÄN</t>
        </is>
      </c>
      <c r="G636" t="inlineStr">
        <is>
          <t>TINGSRYD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14559-2022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44655</v>
      </c>
      <c r="E637" s="1" t="n">
        <v>46218</v>
      </c>
      <c r="F637" t="inlineStr">
        <is>
          <t>KRONOBERGS LÄN</t>
        </is>
      </c>
      <c r="G637" t="inlineStr">
        <is>
          <t>TINGSRYD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25959-2026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46181</v>
      </c>
      <c r="E638" s="1" t="n">
        <v>46218</v>
      </c>
      <c r="F638" t="inlineStr">
        <is>
          <t>KRONOBERGS LÄN</t>
        </is>
      </c>
      <c r="G638" t="inlineStr">
        <is>
          <t>TINGSRYD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1853-2026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46035</v>
      </c>
      <c r="E639" s="1" t="n">
        <v>46218</v>
      </c>
      <c r="F639" t="inlineStr">
        <is>
          <t>KRONOBERGS LÄN</t>
        </is>
      </c>
      <c r="G639" t="inlineStr">
        <is>
          <t>TINGSRYD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32493-2025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45838</v>
      </c>
      <c r="E640" s="1" t="n">
        <v>46218</v>
      </c>
      <c r="F640" t="inlineStr">
        <is>
          <t>KRONOBERGS LÄN</t>
        </is>
      </c>
      <c r="G640" t="inlineStr">
        <is>
          <t>TINGSRYD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32884-2025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45839</v>
      </c>
      <c r="E641" s="1" t="n">
        <v>46218</v>
      </c>
      <c r="F641" t="inlineStr">
        <is>
          <t>KRONOBERGS LÄN</t>
        </is>
      </c>
      <c r="G641" t="inlineStr">
        <is>
          <t>TINGSRYD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20221-2024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45434</v>
      </c>
      <c r="E642" s="1" t="n">
        <v>46218</v>
      </c>
      <c r="F642" t="inlineStr">
        <is>
          <t>KRONOBERGS LÄN</t>
        </is>
      </c>
      <c r="G642" t="inlineStr">
        <is>
          <t>TINGSRYD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1356-2023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44936</v>
      </c>
      <c r="E643" s="1" t="n">
        <v>46218</v>
      </c>
      <c r="F643" t="inlineStr">
        <is>
          <t>KRONOBERGS LÄN</t>
        </is>
      </c>
      <c r="G643" t="inlineStr">
        <is>
          <t>TINGSRYD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1360-2023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44936</v>
      </c>
      <c r="E644" s="1" t="n">
        <v>46218</v>
      </c>
      <c r="F644" t="inlineStr">
        <is>
          <t>KRONOBERGS LÄN</t>
        </is>
      </c>
      <c r="G644" t="inlineStr">
        <is>
          <t>TINGSRYD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38246-2023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45160</v>
      </c>
      <c r="E645" s="1" t="n">
        <v>46218</v>
      </c>
      <c r="F645" t="inlineStr">
        <is>
          <t>KRONOBERGS LÄN</t>
        </is>
      </c>
      <c r="G645" t="inlineStr">
        <is>
          <t>TINGSRYD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18704-2024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45426</v>
      </c>
      <c r="E646" s="1" t="n">
        <v>46218</v>
      </c>
      <c r="F646" t="inlineStr">
        <is>
          <t>KRONOBERGS LÄN</t>
        </is>
      </c>
      <c r="G646" t="inlineStr">
        <is>
          <t>TINGSRYD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33565-2025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45841</v>
      </c>
      <c r="E647" s="1" t="n">
        <v>46218</v>
      </c>
      <c r="F647" t="inlineStr">
        <is>
          <t>KRONOBERGS LÄN</t>
        </is>
      </c>
      <c r="G647" t="inlineStr">
        <is>
          <t>TINGSRYD</t>
        </is>
      </c>
      <c r="I647" t="n">
        <v>8.4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15412-2024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45401</v>
      </c>
      <c r="E648" s="1" t="n">
        <v>46218</v>
      </c>
      <c r="F648" t="inlineStr">
        <is>
          <t>KRONOBERGS LÄN</t>
        </is>
      </c>
      <c r="G648" t="inlineStr">
        <is>
          <t>TINGSRYD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38576-2025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45884</v>
      </c>
      <c r="E649" s="1" t="n">
        <v>46218</v>
      </c>
      <c r="F649" t="inlineStr">
        <is>
          <t>KRONOBERGS LÄN</t>
        </is>
      </c>
      <c r="G649" t="inlineStr">
        <is>
          <t>TINGSRYD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28507-2022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44748</v>
      </c>
      <c r="E650" s="1" t="n">
        <v>46218</v>
      </c>
      <c r="F650" t="inlineStr">
        <is>
          <t>KRONOBERGS LÄN</t>
        </is>
      </c>
      <c r="G650" t="inlineStr">
        <is>
          <t>TINGSRYD</t>
        </is>
      </c>
      <c r="I650" t="n">
        <v>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34465-2023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45139</v>
      </c>
      <c r="E651" s="1" t="n">
        <v>46218</v>
      </c>
      <c r="F651" t="inlineStr">
        <is>
          <t>KRONOBERGS LÄN</t>
        </is>
      </c>
      <c r="G651" t="inlineStr">
        <is>
          <t>TINGSRYD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45677</v>
      </c>
      <c r="E652" s="1" t="n">
        <v>46218</v>
      </c>
      <c r="F652" t="inlineStr">
        <is>
          <t>KRONOBERGS LÄN</t>
        </is>
      </c>
      <c r="G652" t="inlineStr">
        <is>
          <t>TINGSRYD</t>
        </is>
      </c>
      <c r="H652" t="inlineStr">
        <is>
          <t>Sveaskog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57769-2025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45981</v>
      </c>
      <c r="E653" s="1" t="n">
        <v>46218</v>
      </c>
      <c r="F653" t="inlineStr">
        <is>
          <t>KRONOBERGS LÄN</t>
        </is>
      </c>
      <c r="G653" t="inlineStr">
        <is>
          <t>TINGSRYD</t>
        </is>
      </c>
      <c r="I653" t="n">
        <v>4.9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40183-2022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44820</v>
      </c>
      <c r="E654" s="1" t="n">
        <v>46218</v>
      </c>
      <c r="F654" t="inlineStr">
        <is>
          <t>KRONOBERGS LÄN</t>
        </is>
      </c>
      <c r="G654" t="inlineStr">
        <is>
          <t>TINGSRYD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25739-2025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45803</v>
      </c>
      <c r="E655" s="1" t="n">
        <v>46218</v>
      </c>
      <c r="F655" t="inlineStr">
        <is>
          <t>KRONOBERGS LÄN</t>
        </is>
      </c>
      <c r="G655" t="inlineStr">
        <is>
          <t>TINGSRYD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33721-2025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45841</v>
      </c>
      <c r="E656" s="1" t="n">
        <v>46218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19935-2026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46136</v>
      </c>
      <c r="E657" s="1" t="n">
        <v>46218</v>
      </c>
      <c r="F657" t="inlineStr">
        <is>
          <t>KRONOBERGS LÄN</t>
        </is>
      </c>
      <c r="G657" t="inlineStr">
        <is>
          <t>TINGSRYD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24003-2023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45078</v>
      </c>
      <c r="E658" s="1" t="n">
        <v>46218</v>
      </c>
      <c r="F658" t="inlineStr">
        <is>
          <t>KRONOBERGS LÄN</t>
        </is>
      </c>
      <c r="G658" t="inlineStr">
        <is>
          <t>TINGSRYD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24015-2023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45078</v>
      </c>
      <c r="E659" s="1" t="n">
        <v>46218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29584-2023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46218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639-2024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45299</v>
      </c>
      <c r="E661" s="1" t="n">
        <v>46218</v>
      </c>
      <c r="F661" t="inlineStr">
        <is>
          <t>KRONOBERGS LÄN</t>
        </is>
      </c>
      <c r="G661" t="inlineStr">
        <is>
          <t>TINGSRYD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49940-2023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45215</v>
      </c>
      <c r="E662" s="1" t="n">
        <v>46218</v>
      </c>
      <c r="F662" t="inlineStr">
        <is>
          <t>KRONOBERGS LÄN</t>
        </is>
      </c>
      <c r="G662" t="inlineStr">
        <is>
          <t>TINGSRYD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16377-2025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45751</v>
      </c>
      <c r="E663" s="1" t="n">
        <v>46218</v>
      </c>
      <c r="F663" t="inlineStr">
        <is>
          <t>KRONOBERGS LÄN</t>
        </is>
      </c>
      <c r="G663" t="inlineStr">
        <is>
          <t>TINGSRYD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59667-2025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46218</v>
      </c>
      <c r="F664" t="inlineStr">
        <is>
          <t>KRONOBERGS LÄN</t>
        </is>
      </c>
      <c r="G664" t="inlineStr">
        <is>
          <t>TINGSRYD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30012-2023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45109</v>
      </c>
      <c r="E665" s="1" t="n">
        <v>46218</v>
      </c>
      <c r="F665" t="inlineStr">
        <is>
          <t>KRONOBERGS LÄN</t>
        </is>
      </c>
      <c r="G665" t="inlineStr">
        <is>
          <t>TINGSRYD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16810-2022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44673</v>
      </c>
      <c r="E666" s="1" t="n">
        <v>46218</v>
      </c>
      <c r="F666" t="inlineStr">
        <is>
          <t>KRONOBERGS LÄN</t>
        </is>
      </c>
      <c r="G666" t="inlineStr">
        <is>
          <t>TINGSRYD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48687-2021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44452</v>
      </c>
      <c r="E667" s="1" t="n">
        <v>46218</v>
      </c>
      <c r="F667" t="inlineStr">
        <is>
          <t>KRONOBERGS LÄN</t>
        </is>
      </c>
      <c r="G667" t="inlineStr">
        <is>
          <t>TINGSRYD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63938-2025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46010</v>
      </c>
      <c r="E668" s="1" t="n">
        <v>46218</v>
      </c>
      <c r="F668" t="inlineStr">
        <is>
          <t>KRONOBERGS LÄN</t>
        </is>
      </c>
      <c r="G668" t="inlineStr">
        <is>
          <t>TINGSRYD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63337-2025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46010</v>
      </c>
      <c r="E669" s="1" t="n">
        <v>46218</v>
      </c>
      <c r="F669" t="inlineStr">
        <is>
          <t>KRONOBERGS LÄN</t>
        </is>
      </c>
      <c r="G669" t="inlineStr">
        <is>
          <t>TINGSRYD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2864-2023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44945</v>
      </c>
      <c r="E670" s="1" t="n">
        <v>46218</v>
      </c>
      <c r="F670" t="inlineStr">
        <is>
          <t>KRONOBERGS LÄN</t>
        </is>
      </c>
      <c r="G670" t="inlineStr">
        <is>
          <t>TINGSRYD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24786-2022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44728</v>
      </c>
      <c r="E671" s="1" t="n">
        <v>46218</v>
      </c>
      <c r="F671" t="inlineStr">
        <is>
          <t>KRONOBERGS LÄN</t>
        </is>
      </c>
      <c r="G671" t="inlineStr">
        <is>
          <t>TINGSRYD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20297-2026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46136</v>
      </c>
      <c r="E672" s="1" t="n">
        <v>46218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14125-2023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45007</v>
      </c>
      <c r="E673" s="1" t="n">
        <v>46218</v>
      </c>
      <c r="F673" t="inlineStr">
        <is>
          <t>KRONOBERGS LÄN</t>
        </is>
      </c>
      <c r="G673" t="inlineStr">
        <is>
          <t>TINGSRYD</t>
        </is>
      </c>
      <c r="I673" t="n">
        <v>10.5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46072-2025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45924</v>
      </c>
      <c r="E674" s="1" t="n">
        <v>46218</v>
      </c>
      <c r="F674" t="inlineStr">
        <is>
          <t>KRONOBERGS LÄN</t>
        </is>
      </c>
      <c r="G674" t="inlineStr">
        <is>
          <t>TINGSRYD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8678-2025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45711</v>
      </c>
      <c r="E675" s="1" t="n">
        <v>46218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20662-2026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46141</v>
      </c>
      <c r="E676" s="1" t="n">
        <v>46218</v>
      </c>
      <c r="F676" t="inlineStr">
        <is>
          <t>KRONOBERGS LÄN</t>
        </is>
      </c>
      <c r="G676" t="inlineStr">
        <is>
          <t>TINGSRYD</t>
        </is>
      </c>
      <c r="H676" t="inlineStr">
        <is>
          <t>Övriga Aktiebolag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59604-2022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44907</v>
      </c>
      <c r="E677" s="1" t="n">
        <v>46218</v>
      </c>
      <c r="F677" t="inlineStr">
        <is>
          <t>KRONOBERGS LÄN</t>
        </is>
      </c>
      <c r="G677" t="inlineStr">
        <is>
          <t>TINGSRYD</t>
        </is>
      </c>
      <c r="I677" t="n">
        <v>6.5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3987-2025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45684</v>
      </c>
      <c r="E678" s="1" t="n">
        <v>46218</v>
      </c>
      <c r="F678" t="inlineStr">
        <is>
          <t>KRONOBERGS LÄN</t>
        </is>
      </c>
      <c r="G678" t="inlineStr">
        <is>
          <t>TINGSRYD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50335-2021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44459</v>
      </c>
      <c r="E679" s="1" t="n">
        <v>46218</v>
      </c>
      <c r="F679" t="inlineStr">
        <is>
          <t>KRONOBERGS LÄN</t>
        </is>
      </c>
      <c r="G679" t="inlineStr">
        <is>
          <t>TINGSRYD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3991-2025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45684</v>
      </c>
      <c r="E680" s="1" t="n">
        <v>46218</v>
      </c>
      <c r="F680" t="inlineStr">
        <is>
          <t>KRONOBERGS LÄN</t>
        </is>
      </c>
      <c r="G680" t="inlineStr">
        <is>
          <t>TINGSRYD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25941-2023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45090</v>
      </c>
      <c r="E681" s="1" t="n">
        <v>46218</v>
      </c>
      <c r="F681" t="inlineStr">
        <is>
          <t>KRONOBERGS LÄN</t>
        </is>
      </c>
      <c r="G681" t="inlineStr">
        <is>
          <t>TINGSRYD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60746-2024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46218</v>
      </c>
      <c r="F682" t="inlineStr">
        <is>
          <t>KRONOBERGS LÄN</t>
        </is>
      </c>
      <c r="G682" t="inlineStr">
        <is>
          <t>TINGSRYD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63838-2023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46218</v>
      </c>
      <c r="F683" t="inlineStr">
        <is>
          <t>KRONOBERGS LÄN</t>
        </is>
      </c>
      <c r="G683" t="inlineStr">
        <is>
          <t>TINGSRYD</t>
        </is>
      </c>
      <c r="I683" t="n">
        <v>6.7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21512-2023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45063</v>
      </c>
      <c r="E684" s="1" t="n">
        <v>46218</v>
      </c>
      <c r="F684" t="inlineStr">
        <is>
          <t>KRONOBERGS LÄN</t>
        </is>
      </c>
      <c r="G684" t="inlineStr">
        <is>
          <t>TINGSRYD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36782-2025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45873</v>
      </c>
      <c r="E685" s="1" t="n">
        <v>46218</v>
      </c>
      <c r="F685" t="inlineStr">
        <is>
          <t>KRONOBERGS LÄN</t>
        </is>
      </c>
      <c r="G685" t="inlineStr">
        <is>
          <t>TINGSRYD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36785-2025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45873</v>
      </c>
      <c r="E686" s="1" t="n">
        <v>46218</v>
      </c>
      <c r="F686" t="inlineStr">
        <is>
          <t>KRONOBERGS LÄN</t>
        </is>
      </c>
      <c r="G686" t="inlineStr">
        <is>
          <t>TINGSRYD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36707-2025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46218</v>
      </c>
      <c r="F687" t="inlineStr">
        <is>
          <t>KRONOBERGS LÄN</t>
        </is>
      </c>
      <c r="G687" t="inlineStr">
        <is>
          <t>TINGSRYD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59918-2025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45993</v>
      </c>
      <c r="E688" s="1" t="n">
        <v>46218</v>
      </c>
      <c r="F688" t="inlineStr">
        <is>
          <t>KRONOBERGS LÄN</t>
        </is>
      </c>
      <c r="G688" t="inlineStr">
        <is>
          <t>TINGSRYD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60783-2024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45644</v>
      </c>
      <c r="E689" s="1" t="n">
        <v>46218</v>
      </c>
      <c r="F689" t="inlineStr">
        <is>
          <t>KRONOBERGS LÄN</t>
        </is>
      </c>
      <c r="G689" t="inlineStr">
        <is>
          <t>TINGSRYD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26248-2026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46218</v>
      </c>
      <c r="F690" t="inlineStr">
        <is>
          <t>KRONOBERGS LÄN</t>
        </is>
      </c>
      <c r="G690" t="inlineStr">
        <is>
          <t>TINGSRYD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1209-2024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45302</v>
      </c>
      <c r="E691" s="1" t="n">
        <v>46218</v>
      </c>
      <c r="F691" t="inlineStr">
        <is>
          <t>KRONOBERGS LÄN</t>
        </is>
      </c>
      <c r="G691" t="inlineStr">
        <is>
          <t>TINGSRYD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40173-2022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44820</v>
      </c>
      <c r="E692" s="1" t="n">
        <v>46218</v>
      </c>
      <c r="F692" t="inlineStr">
        <is>
          <t>KRONOBERGS LÄN</t>
        </is>
      </c>
      <c r="G692" t="inlineStr">
        <is>
          <t>TINGSRYD</t>
        </is>
      </c>
      <c r="I692" t="n">
        <v>5.2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49979-2023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45215</v>
      </c>
      <c r="E693" s="1" t="n">
        <v>46218</v>
      </c>
      <c r="F693" t="inlineStr">
        <is>
          <t>KRONOBERGS LÄN</t>
        </is>
      </c>
      <c r="G693" t="inlineStr">
        <is>
          <t>TINGSRYD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17694-2025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45758</v>
      </c>
      <c r="E694" s="1" t="n">
        <v>46218</v>
      </c>
      <c r="F694" t="inlineStr">
        <is>
          <t>KRONOBERGS LÄN</t>
        </is>
      </c>
      <c r="G694" t="inlineStr">
        <is>
          <t>TINGSRYD</t>
        </is>
      </c>
      <c r="H694" t="inlineStr">
        <is>
          <t>Övriga Aktiebolag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57157-2023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45245</v>
      </c>
      <c r="E695" s="1" t="n">
        <v>46218</v>
      </c>
      <c r="F695" t="inlineStr">
        <is>
          <t>KRONOBERGS LÄN</t>
        </is>
      </c>
      <c r="G695" t="inlineStr">
        <is>
          <t>TINGSRYD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37002-2025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45874</v>
      </c>
      <c r="E696" s="1" t="n">
        <v>46218</v>
      </c>
      <c r="F696" t="inlineStr">
        <is>
          <t>KRONOBERGS LÄN</t>
        </is>
      </c>
      <c r="G696" t="inlineStr">
        <is>
          <t>TINGSRYD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5827-2023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44963</v>
      </c>
      <c r="E697" s="1" t="n">
        <v>46218</v>
      </c>
      <c r="F697" t="inlineStr">
        <is>
          <t>KRONOBERGS LÄN</t>
        </is>
      </c>
      <c r="G697" t="inlineStr">
        <is>
          <t>TINGSRYD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37522-2025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45877</v>
      </c>
      <c r="E698" s="1" t="n">
        <v>46218</v>
      </c>
      <c r="F698" t="inlineStr">
        <is>
          <t>KRONOBERGS LÄN</t>
        </is>
      </c>
      <c r="G698" t="inlineStr">
        <is>
          <t>TINGSRYD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37215-2023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45155</v>
      </c>
      <c r="E699" s="1" t="n">
        <v>46218</v>
      </c>
      <c r="F699" t="inlineStr">
        <is>
          <t>KRONOBERGS LÄN</t>
        </is>
      </c>
      <c r="G699" t="inlineStr">
        <is>
          <t>TINGSRYD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42167-2025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45904</v>
      </c>
      <c r="E700" s="1" t="n">
        <v>46218</v>
      </c>
      <c r="F700" t="inlineStr">
        <is>
          <t>KRONOBERGS LÄN</t>
        </is>
      </c>
      <c r="G700" t="inlineStr">
        <is>
          <t>TINGSRYD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37867-2025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45881</v>
      </c>
      <c r="E701" s="1" t="n">
        <v>46218</v>
      </c>
      <c r="F701" t="inlineStr">
        <is>
          <t>KRONOBERGS LÄN</t>
        </is>
      </c>
      <c r="G701" t="inlineStr">
        <is>
          <t>TINGSRYD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37871-2025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45881</v>
      </c>
      <c r="E702" s="1" t="n">
        <v>46218</v>
      </c>
      <c r="F702" t="inlineStr">
        <is>
          <t>KRONOBERGS LÄN</t>
        </is>
      </c>
      <c r="G702" t="inlineStr">
        <is>
          <t>TINGSRYD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17844-2024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45418</v>
      </c>
      <c r="E703" s="1" t="n">
        <v>46218</v>
      </c>
      <c r="F703" t="inlineStr">
        <is>
          <t>KRONOBERGS LÄN</t>
        </is>
      </c>
      <c r="G703" t="inlineStr">
        <is>
          <t>TINGSRYD</t>
        </is>
      </c>
      <c r="H703" t="inlineStr">
        <is>
          <t>Kyrkan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25010-2023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45085</v>
      </c>
      <c r="E704" s="1" t="n">
        <v>46218</v>
      </c>
      <c r="F704" t="inlineStr">
        <is>
          <t>KRONOBERGS LÄN</t>
        </is>
      </c>
      <c r="G704" t="inlineStr">
        <is>
          <t>TINGSRYD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26252-2026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46182</v>
      </c>
      <c r="E705" s="1" t="n">
        <v>46218</v>
      </c>
      <c r="F705" t="inlineStr">
        <is>
          <t>KRONOBERGS LÄN</t>
        </is>
      </c>
      <c r="G705" t="inlineStr">
        <is>
          <t>TINGSRYD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20896-2024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45439</v>
      </c>
      <c r="E706" s="1" t="n">
        <v>46218</v>
      </c>
      <c r="F706" t="inlineStr">
        <is>
          <t>KRONOBERGS LÄN</t>
        </is>
      </c>
      <c r="G706" t="inlineStr">
        <is>
          <t>TINGSRYD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20664-2026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46218</v>
      </c>
      <c r="F707" t="inlineStr">
        <is>
          <t>KRONOBERGS LÄN</t>
        </is>
      </c>
      <c r="G707" t="inlineStr">
        <is>
          <t>TINGSRYD</t>
        </is>
      </c>
      <c r="H707" t="inlineStr">
        <is>
          <t>Övriga Aktiebolag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61111-2025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46000</v>
      </c>
      <c r="E708" s="1" t="n">
        <v>46218</v>
      </c>
      <c r="F708" t="inlineStr">
        <is>
          <t>KRONOBERGS LÄN</t>
        </is>
      </c>
      <c r="G708" t="inlineStr">
        <is>
          <t>TINGSRYD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61315-2025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46000</v>
      </c>
      <c r="E709" s="1" t="n">
        <v>46218</v>
      </c>
      <c r="F709" t="inlineStr">
        <is>
          <t>KRONOBERGS LÄN</t>
        </is>
      </c>
      <c r="G709" t="inlineStr">
        <is>
          <t>TINGSRYD</t>
        </is>
      </c>
      <c r="I709" t="n">
        <v>6.7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61150-2025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46000</v>
      </c>
      <c r="E710" s="1" t="n">
        <v>46218</v>
      </c>
      <c r="F710" t="inlineStr">
        <is>
          <t>KRONOBERGS LÄN</t>
        </is>
      </c>
      <c r="G710" t="inlineStr">
        <is>
          <t>TINGSRYD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26250-2026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46182</v>
      </c>
      <c r="E711" s="1" t="n">
        <v>46218</v>
      </c>
      <c r="F711" t="inlineStr">
        <is>
          <t>KRONOBERGS LÄN</t>
        </is>
      </c>
      <c r="G711" t="inlineStr">
        <is>
          <t>TINGSRYD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17010-2023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45034</v>
      </c>
      <c r="E712" s="1" t="n">
        <v>46218</v>
      </c>
      <c r="F712" t="inlineStr">
        <is>
          <t>KRONOBERGS LÄN</t>
        </is>
      </c>
      <c r="G712" t="inlineStr">
        <is>
          <t>TINGSRYD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14400-2024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45394</v>
      </c>
      <c r="E713" s="1" t="n">
        <v>46218</v>
      </c>
      <c r="F713" t="inlineStr">
        <is>
          <t>KRONOBERGS LÄN</t>
        </is>
      </c>
      <c r="G713" t="inlineStr">
        <is>
          <t>TINGSRYD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46992-2021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44446</v>
      </c>
      <c r="E714" s="1" t="n">
        <v>46218</v>
      </c>
      <c r="F714" t="inlineStr">
        <is>
          <t>KRONOBERGS LÄN</t>
        </is>
      </c>
      <c r="G714" t="inlineStr">
        <is>
          <t>TINGSRYD</t>
        </is>
      </c>
      <c r="I714" t="n">
        <v>6.7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10613-2022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44624</v>
      </c>
      <c r="E715" s="1" t="n">
        <v>46218</v>
      </c>
      <c r="F715" t="inlineStr">
        <is>
          <t>KRONOBERGS LÄN</t>
        </is>
      </c>
      <c r="G715" t="inlineStr">
        <is>
          <t>TINGSRYD</t>
        </is>
      </c>
      <c r="I715" t="n">
        <v>7.1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172-2023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44928</v>
      </c>
      <c r="E716" s="1" t="n">
        <v>46218</v>
      </c>
      <c r="F716" t="inlineStr">
        <is>
          <t>KRONOBERGS LÄN</t>
        </is>
      </c>
      <c r="G716" t="inlineStr">
        <is>
          <t>TINGSRYD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62209-2023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45267</v>
      </c>
      <c r="E717" s="1" t="n">
        <v>46218</v>
      </c>
      <c r="F717" t="inlineStr">
        <is>
          <t>KRONOBERGS LÄN</t>
        </is>
      </c>
      <c r="G717" t="inlineStr">
        <is>
          <t>TINGSRYD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61444-2023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46218</v>
      </c>
      <c r="F718" t="inlineStr">
        <is>
          <t>KRONOBERGS LÄN</t>
        </is>
      </c>
      <c r="G718" t="inlineStr">
        <is>
          <t>TINGSRYD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2808-2024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45314</v>
      </c>
      <c r="E719" s="1" t="n">
        <v>46218</v>
      </c>
      <c r="F719" t="inlineStr">
        <is>
          <t>KRONOBERGS LÄN</t>
        </is>
      </c>
      <c r="G719" t="inlineStr">
        <is>
          <t>TINGSRYD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53497-2022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44875</v>
      </c>
      <c r="E720" s="1" t="n">
        <v>46218</v>
      </c>
      <c r="F720" t="inlineStr">
        <is>
          <t>KRONOBERGS LÄN</t>
        </is>
      </c>
      <c r="G720" t="inlineStr">
        <is>
          <t>TINGSRYD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26674-2026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46184</v>
      </c>
      <c r="E721" s="1" t="n">
        <v>46218</v>
      </c>
      <c r="F721" t="inlineStr">
        <is>
          <t>KRONOBERGS LÄN</t>
        </is>
      </c>
      <c r="G721" t="inlineStr">
        <is>
          <t>TINGSRYD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63078-2021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44505</v>
      </c>
      <c r="E722" s="1" t="n">
        <v>46218</v>
      </c>
      <c r="F722" t="inlineStr">
        <is>
          <t>KRONOBERGS LÄN</t>
        </is>
      </c>
      <c r="G722" t="inlineStr">
        <is>
          <t>TINGSRYD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46218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62470-2025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46218</v>
      </c>
      <c r="F724" t="inlineStr">
        <is>
          <t>KRONOBERGS LÄN</t>
        </is>
      </c>
      <c r="G724" t="inlineStr">
        <is>
          <t>TINGSRYD</t>
        </is>
      </c>
      <c r="H724" t="inlineStr">
        <is>
          <t>Kommuner</t>
        </is>
      </c>
      <c r="I724" t="n">
        <v>6.9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53278-2024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45614</v>
      </c>
      <c r="E725" s="1" t="n">
        <v>46218</v>
      </c>
      <c r="F725" t="inlineStr">
        <is>
          <t>KRONOBERGS LÄN</t>
        </is>
      </c>
      <c r="G725" t="inlineStr">
        <is>
          <t>TINGSRYD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9866-2022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44620</v>
      </c>
      <c r="E726" s="1" t="n">
        <v>46218</v>
      </c>
      <c r="F726" t="inlineStr">
        <is>
          <t>KRONOBERGS LÄN</t>
        </is>
      </c>
      <c r="G726" t="inlineStr">
        <is>
          <t>TINGSRYD</t>
        </is>
      </c>
      <c r="H726" t="inlineStr">
        <is>
          <t>Kommuner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61119-2023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45261</v>
      </c>
      <c r="E727" s="1" t="n">
        <v>46218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27256-2026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46218</v>
      </c>
      <c r="F728" t="inlineStr">
        <is>
          <t>KRONOBERGS LÄN</t>
        </is>
      </c>
      <c r="G728" t="inlineStr">
        <is>
          <t>TINGSRYD</t>
        </is>
      </c>
      <c r="I728" t="n">
        <v>6.8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12663-2024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45384</v>
      </c>
      <c r="E729" s="1" t="n">
        <v>46218</v>
      </c>
      <c r="F729" t="inlineStr">
        <is>
          <t>KRONOBERGS LÄN</t>
        </is>
      </c>
      <c r="G729" t="inlineStr">
        <is>
          <t>TINGSRYD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21263-2026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46147</v>
      </c>
      <c r="E730" s="1" t="n">
        <v>46218</v>
      </c>
      <c r="F730" t="inlineStr">
        <is>
          <t>KRONOBERGS LÄN</t>
        </is>
      </c>
      <c r="G730" t="inlineStr">
        <is>
          <t>TINGSRYD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20567-2024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45436</v>
      </c>
      <c r="E731" s="1" t="n">
        <v>46218</v>
      </c>
      <c r="F731" t="inlineStr">
        <is>
          <t>KRONOBERGS LÄN</t>
        </is>
      </c>
      <c r="G731" t="inlineStr">
        <is>
          <t>TINGSRYD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14391-2024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45394</v>
      </c>
      <c r="E732" s="1" t="n">
        <v>46218</v>
      </c>
      <c r="F732" t="inlineStr">
        <is>
          <t>KRONOBERGS LÄN</t>
        </is>
      </c>
      <c r="G732" t="inlineStr">
        <is>
          <t>TINGSRYD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27329-2026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46188</v>
      </c>
      <c r="E733" s="1" t="n">
        <v>46218</v>
      </c>
      <c r="F733" t="inlineStr">
        <is>
          <t>KRONOBERGS LÄN</t>
        </is>
      </c>
      <c r="G733" t="inlineStr">
        <is>
          <t>TINGSRYD</t>
        </is>
      </c>
      <c r="I733" t="n">
        <v>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11219-2025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45726</v>
      </c>
      <c r="E734" s="1" t="n">
        <v>46218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27254-2026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46184</v>
      </c>
      <c r="E735" s="1" t="n">
        <v>46218</v>
      </c>
      <c r="F735" t="inlineStr">
        <is>
          <t>KRONOBERGS LÄN</t>
        </is>
      </c>
      <c r="G735" t="inlineStr">
        <is>
          <t>TINGSRYD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60499-2022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44911</v>
      </c>
      <c r="E736" s="1" t="n">
        <v>46218</v>
      </c>
      <c r="F736" t="inlineStr">
        <is>
          <t>KRONOBERGS LÄN</t>
        </is>
      </c>
      <c r="G736" t="inlineStr">
        <is>
          <t>TINGSRYD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21447-2026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46148</v>
      </c>
      <c r="E737" s="1" t="n">
        <v>46218</v>
      </c>
      <c r="F737" t="inlineStr">
        <is>
          <t>KRONOBERGS LÄN</t>
        </is>
      </c>
      <c r="G737" t="inlineStr">
        <is>
          <t>TINGSRYD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30918-2023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45113</v>
      </c>
      <c r="E738" s="1" t="n">
        <v>46218</v>
      </c>
      <c r="F738" t="inlineStr">
        <is>
          <t>KRONOBERGS LÄN</t>
        </is>
      </c>
      <c r="G738" t="inlineStr">
        <is>
          <t>TINGSRYD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27610-2026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46190</v>
      </c>
      <c r="E739" s="1" t="n">
        <v>46218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28176-2023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45099</v>
      </c>
      <c r="E740" s="1" t="n">
        <v>46218</v>
      </c>
      <c r="F740" t="inlineStr">
        <is>
          <t>KRONOBERGS LÄN</t>
        </is>
      </c>
      <c r="G740" t="inlineStr">
        <is>
          <t>TINGSRYD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37184-2023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45155</v>
      </c>
      <c r="E741" s="1" t="n">
        <v>46218</v>
      </c>
      <c r="F741" t="inlineStr">
        <is>
          <t>KRONOBERGS LÄN</t>
        </is>
      </c>
      <c r="G741" t="inlineStr">
        <is>
          <t>TINGSRYD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42414-2021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44427</v>
      </c>
      <c r="E742" s="1" t="n">
        <v>46218</v>
      </c>
      <c r="F742" t="inlineStr">
        <is>
          <t>KRONOBERGS LÄN</t>
        </is>
      </c>
      <c r="G742" t="inlineStr">
        <is>
          <t>TINGSRYD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38759-2024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45547</v>
      </c>
      <c r="E743" s="1" t="n">
        <v>46218</v>
      </c>
      <c r="F743" t="inlineStr">
        <is>
          <t>KRONOBERGS LÄN</t>
        </is>
      </c>
      <c r="G743" t="inlineStr">
        <is>
          <t>TINGSRYD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21446-2026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46148</v>
      </c>
      <c r="E744" s="1" t="n">
        <v>46218</v>
      </c>
      <c r="F744" t="inlineStr">
        <is>
          <t>KRONOBERGS LÄN</t>
        </is>
      </c>
      <c r="G744" t="inlineStr">
        <is>
          <t>TINGSRYD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21706-2026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46149</v>
      </c>
      <c r="E745" s="1" t="n">
        <v>46218</v>
      </c>
      <c r="F745" t="inlineStr">
        <is>
          <t>KRONOBERGS LÄN</t>
        </is>
      </c>
      <c r="G745" t="inlineStr">
        <is>
          <t>TINGSRYD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45666-2024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45579</v>
      </c>
      <c r="E746" s="1" t="n">
        <v>46218</v>
      </c>
      <c r="F746" t="inlineStr">
        <is>
          <t>KRONOBERGS LÄN</t>
        </is>
      </c>
      <c r="G746" t="inlineStr">
        <is>
          <t>TINGSRYD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43462-2024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45568</v>
      </c>
      <c r="E747" s="1" t="n">
        <v>46218</v>
      </c>
      <c r="F747" t="inlineStr">
        <is>
          <t>KRONOBERGS LÄN</t>
        </is>
      </c>
      <c r="G747" t="inlineStr">
        <is>
          <t>TINGSRYD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20058-2025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45772</v>
      </c>
      <c r="E748" s="1" t="n">
        <v>46218</v>
      </c>
      <c r="F748" t="inlineStr">
        <is>
          <t>KRONOBERGS LÄN</t>
        </is>
      </c>
      <c r="G748" t="inlineStr">
        <is>
          <t>TINGSRYD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43858-2022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44838</v>
      </c>
      <c r="E749" s="1" t="n">
        <v>46218</v>
      </c>
      <c r="F749" t="inlineStr">
        <is>
          <t>KRONOBERGS LÄN</t>
        </is>
      </c>
      <c r="G749" t="inlineStr">
        <is>
          <t>TINGSRYD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2471-2025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45674</v>
      </c>
      <c r="E750" s="1" t="n">
        <v>46218</v>
      </c>
      <c r="F750" t="inlineStr">
        <is>
          <t>KRONOBERGS LÄN</t>
        </is>
      </c>
      <c r="G750" t="inlineStr">
        <is>
          <t>TINGSRYD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1361-2026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46031</v>
      </c>
      <c r="E751" s="1" t="n">
        <v>46218</v>
      </c>
      <c r="F751" t="inlineStr">
        <is>
          <t>KRONOBERGS LÄN</t>
        </is>
      </c>
      <c r="G751" t="inlineStr">
        <is>
          <t>TINGSRYD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1352-2026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46031</v>
      </c>
      <c r="E752" s="1" t="n">
        <v>46218</v>
      </c>
      <c r="F752" t="inlineStr">
        <is>
          <t>KRONOBERGS LÄN</t>
        </is>
      </c>
      <c r="G752" t="inlineStr">
        <is>
          <t>TINGSRYD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59082-2024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45637</v>
      </c>
      <c r="E753" s="1" t="n">
        <v>46218</v>
      </c>
      <c r="F753" t="inlineStr">
        <is>
          <t>KRONOBERGS LÄN</t>
        </is>
      </c>
      <c r="G753" t="inlineStr">
        <is>
          <t>TINGSRYD</t>
        </is>
      </c>
      <c r="H753" t="inlineStr">
        <is>
          <t>Övriga Aktiebolag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59092-2024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45637</v>
      </c>
      <c r="E754" s="1" t="n">
        <v>46218</v>
      </c>
      <c r="F754" t="inlineStr">
        <is>
          <t>KRONOBERGS LÄN</t>
        </is>
      </c>
      <c r="G754" t="inlineStr">
        <is>
          <t>TINGSRYD</t>
        </is>
      </c>
      <c r="H754" t="inlineStr">
        <is>
          <t>Övriga Aktiebolag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20662-2022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44700</v>
      </c>
      <c r="E755" s="1" t="n">
        <v>46218</v>
      </c>
      <c r="F755" t="inlineStr">
        <is>
          <t>KRONOBERGS LÄN</t>
        </is>
      </c>
      <c r="G755" t="inlineStr">
        <is>
          <t>TINGSRYD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18379-2024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45424</v>
      </c>
      <c r="E756" s="1" t="n">
        <v>46218</v>
      </c>
      <c r="F756" t="inlineStr">
        <is>
          <t>KRONOBERGS LÄN</t>
        </is>
      </c>
      <c r="G756" t="inlineStr">
        <is>
          <t>TINGSRYD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6669-2025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45700</v>
      </c>
      <c r="E757" s="1" t="n">
        <v>46218</v>
      </c>
      <c r="F757" t="inlineStr">
        <is>
          <t>KRONOBERGS LÄN</t>
        </is>
      </c>
      <c r="G757" t="inlineStr">
        <is>
          <t>TINGSRYD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1357-2026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46031</v>
      </c>
      <c r="E758" s="1" t="n">
        <v>46218</v>
      </c>
      <c r="F758" t="inlineStr">
        <is>
          <t>KRONOBERGS LÄN</t>
        </is>
      </c>
      <c r="G758" t="inlineStr">
        <is>
          <t>TINGSRYD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55982-2023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45240</v>
      </c>
      <c r="E759" s="1" t="n">
        <v>46218</v>
      </c>
      <c r="F759" t="inlineStr">
        <is>
          <t>KRONOBERGS LÄN</t>
        </is>
      </c>
      <c r="G759" t="inlineStr">
        <is>
          <t>TINGSRYD</t>
        </is>
      </c>
      <c r="I759" t="n">
        <v>6.9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67565-2021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44524</v>
      </c>
      <c r="E760" s="1" t="n">
        <v>46218</v>
      </c>
      <c r="F760" t="inlineStr">
        <is>
          <t>KRONOBERGS LÄN</t>
        </is>
      </c>
      <c r="G760" t="inlineStr">
        <is>
          <t>TINGSRYD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52945-2023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46218</v>
      </c>
      <c r="F761" t="inlineStr">
        <is>
          <t>KRONOBERGS LÄN</t>
        </is>
      </c>
      <c r="G761" t="inlineStr">
        <is>
          <t>TINGSRYD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2806-2024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45314</v>
      </c>
      <c r="E762" s="1" t="n">
        <v>46218</v>
      </c>
      <c r="F762" t="inlineStr">
        <is>
          <t>KRONOBERGS LÄN</t>
        </is>
      </c>
      <c r="G762" t="inlineStr">
        <is>
          <t>TINGSRYD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14247-2023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45009</v>
      </c>
      <c r="E763" s="1" t="n">
        <v>46218</v>
      </c>
      <c r="F763" t="inlineStr">
        <is>
          <t>KRONOBERGS LÄN</t>
        </is>
      </c>
      <c r="G763" t="inlineStr">
        <is>
          <t>TINGSRYD</t>
        </is>
      </c>
      <c r="H763" t="inlineStr">
        <is>
          <t>Sveaskog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37359-2024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45540</v>
      </c>
      <c r="E764" s="1" t="n">
        <v>46218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3338-2023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44949</v>
      </c>
      <c r="E765" s="1" t="n">
        <v>46218</v>
      </c>
      <c r="F765" t="inlineStr">
        <is>
          <t>KRONOBERGS LÄN</t>
        </is>
      </c>
      <c r="G765" t="inlineStr">
        <is>
          <t>TINGSRYD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2773-2026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46036</v>
      </c>
      <c r="E766" s="1" t="n">
        <v>46218</v>
      </c>
      <c r="F766" t="inlineStr">
        <is>
          <t>KRONOBERGS LÄN</t>
        </is>
      </c>
      <c r="G766" t="inlineStr">
        <is>
          <t>TINGSRYD</t>
        </is>
      </c>
      <c r="H766" t="inlineStr">
        <is>
          <t>Kyrkan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3842-2026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46043</v>
      </c>
      <c r="E767" s="1" t="n">
        <v>46218</v>
      </c>
      <c r="F767" t="inlineStr">
        <is>
          <t>KRONOBERGS LÄN</t>
        </is>
      </c>
      <c r="G767" t="inlineStr">
        <is>
          <t>TINGSRYD</t>
        </is>
      </c>
      <c r="H767" t="inlineStr">
        <is>
          <t>Kommuner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28602-2026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46197</v>
      </c>
      <c r="E768" s="1" t="n">
        <v>46218</v>
      </c>
      <c r="F768" t="inlineStr">
        <is>
          <t>KRONOBERGS LÄN</t>
        </is>
      </c>
      <c r="G768" t="inlineStr">
        <is>
          <t>TINGSRYD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54963-2023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45236</v>
      </c>
      <c r="E769" s="1" t="n">
        <v>46218</v>
      </c>
      <c r="F769" t="inlineStr">
        <is>
          <t>KRONOBERGS LÄN</t>
        </is>
      </c>
      <c r="G769" t="inlineStr">
        <is>
          <t>TINGSRYD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28604-2026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46218</v>
      </c>
      <c r="F770" t="inlineStr">
        <is>
          <t>KRONOBERGS LÄN</t>
        </is>
      </c>
      <c r="G770" t="inlineStr">
        <is>
          <t>TINGSRYD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53256-2024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45614</v>
      </c>
      <c r="E771" s="1" t="n">
        <v>46218</v>
      </c>
      <c r="F771" t="inlineStr">
        <is>
          <t>KRONOBERGS LÄN</t>
        </is>
      </c>
      <c r="G771" t="inlineStr">
        <is>
          <t>TINGSRYD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41835-2025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45902</v>
      </c>
      <c r="E772" s="1" t="n">
        <v>46218</v>
      </c>
      <c r="F772" t="inlineStr">
        <is>
          <t>KRONOBERGS LÄN</t>
        </is>
      </c>
      <c r="G772" t="inlineStr">
        <is>
          <t>TINGSRYD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22413-2026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46154</v>
      </c>
      <c r="E773" s="1" t="n">
        <v>46218</v>
      </c>
      <c r="F773" t="inlineStr">
        <is>
          <t>KRONOBERGS LÄN</t>
        </is>
      </c>
      <c r="G773" t="inlineStr">
        <is>
          <t>TINGSRYD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3019-2026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46038</v>
      </c>
      <c r="E774" s="1" t="n">
        <v>46218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3024-2026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46038</v>
      </c>
      <c r="E775" s="1" t="n">
        <v>46218</v>
      </c>
      <c r="F775" t="inlineStr">
        <is>
          <t>KRONOBERGS LÄN</t>
        </is>
      </c>
      <c r="G775" t="inlineStr">
        <is>
          <t>TINGSRYD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3005-2026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46038</v>
      </c>
      <c r="E776" s="1" t="n">
        <v>46218</v>
      </c>
      <c r="F776" t="inlineStr">
        <is>
          <t>KRONOBERGS LÄN</t>
        </is>
      </c>
      <c r="G776" t="inlineStr">
        <is>
          <t>TINGSRYD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28771-2026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46198</v>
      </c>
      <c r="E777" s="1" t="n">
        <v>46218</v>
      </c>
      <c r="F777" t="inlineStr">
        <is>
          <t>KRONOBERGS LÄN</t>
        </is>
      </c>
      <c r="G777" t="inlineStr">
        <is>
          <t>TINGSRYD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30044-2023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45110</v>
      </c>
      <c r="E778" s="1" t="n">
        <v>46218</v>
      </c>
      <c r="F778" t="inlineStr">
        <is>
          <t>KRONOBERGS LÄN</t>
        </is>
      </c>
      <c r="G778" t="inlineStr">
        <is>
          <t>TINGSRYD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11977-2023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44994</v>
      </c>
      <c r="E779" s="1" t="n">
        <v>46218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10009-2022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44621</v>
      </c>
      <c r="E780" s="1" t="n">
        <v>46218</v>
      </c>
      <c r="F780" t="inlineStr">
        <is>
          <t>KRONOBERGS LÄN</t>
        </is>
      </c>
      <c r="G780" t="inlineStr">
        <is>
          <t>TINGSRYD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58747-2022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44903</v>
      </c>
      <c r="E781" s="1" t="n">
        <v>46218</v>
      </c>
      <c r="F781" t="inlineStr">
        <is>
          <t>KRONOBERGS LÄN</t>
        </is>
      </c>
      <c r="G781" t="inlineStr">
        <is>
          <t>TINGSRYD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58641-2021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44489</v>
      </c>
      <c r="E782" s="1" t="n">
        <v>46218</v>
      </c>
      <c r="F782" t="inlineStr">
        <is>
          <t>KRONOBERGS LÄN</t>
        </is>
      </c>
      <c r="G782" t="inlineStr">
        <is>
          <t>TINGSRYD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46981-2023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45201</v>
      </c>
      <c r="E783" s="1" t="n">
        <v>46218</v>
      </c>
      <c r="F783" t="inlineStr">
        <is>
          <t>KRONOBERGS LÄN</t>
        </is>
      </c>
      <c r="G783" t="inlineStr">
        <is>
          <t>TINGSRYD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4065-2026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46044</v>
      </c>
      <c r="E784" s="1" t="n">
        <v>46218</v>
      </c>
      <c r="F784" t="inlineStr">
        <is>
          <t>KRONOBERGS LÄN</t>
        </is>
      </c>
      <c r="G784" t="inlineStr">
        <is>
          <t>TINGSRYD</t>
        </is>
      </c>
      <c r="H784" t="inlineStr">
        <is>
          <t>Övriga Aktiebolag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4357-2026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46045</v>
      </c>
      <c r="E785" s="1" t="n">
        <v>46218</v>
      </c>
      <c r="F785" t="inlineStr">
        <is>
          <t>KRONOBERGS LÄN</t>
        </is>
      </c>
      <c r="G785" t="inlineStr">
        <is>
          <t>TINGSRYD</t>
        </is>
      </c>
      <c r="H785" t="inlineStr">
        <is>
          <t>Övriga Aktiebolag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46044</v>
      </c>
      <c r="E786" s="1" t="n">
        <v>46218</v>
      </c>
      <c r="F786" t="inlineStr">
        <is>
          <t>KRONOBERGS LÄN</t>
        </is>
      </c>
      <c r="G786" t="inlineStr">
        <is>
          <t>TINGSRYD</t>
        </is>
      </c>
      <c r="H786" t="inlineStr">
        <is>
          <t>Övriga Aktiebolag</t>
        </is>
      </c>
      <c r="I786" t="n">
        <v>4.3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4373-2026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46045</v>
      </c>
      <c r="E787" s="1" t="n">
        <v>46218</v>
      </c>
      <c r="F787" t="inlineStr">
        <is>
          <t>KRONOBERGS LÄN</t>
        </is>
      </c>
      <c r="G787" t="inlineStr">
        <is>
          <t>TINGSRYD</t>
        </is>
      </c>
      <c r="H787" t="inlineStr">
        <is>
          <t>Övriga Aktiebolag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4347-2026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46045</v>
      </c>
      <c r="E788" s="1" t="n">
        <v>46218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20563-2024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45436</v>
      </c>
      <c r="E789" s="1" t="n">
        <v>46218</v>
      </c>
      <c r="F789" t="inlineStr">
        <is>
          <t>KRONOBERGS LÄN</t>
        </is>
      </c>
      <c r="G789" t="inlineStr">
        <is>
          <t>TINGSRYD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13269-2024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45386</v>
      </c>
      <c r="E790" s="1" t="n">
        <v>46218</v>
      </c>
      <c r="F790" t="inlineStr">
        <is>
          <t>KRONOBERGS LÄN</t>
        </is>
      </c>
      <c r="G790" t="inlineStr">
        <is>
          <t>TINGSRYD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20892-2024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45439</v>
      </c>
      <c r="E791" s="1" t="n">
        <v>46218</v>
      </c>
      <c r="F791" t="inlineStr">
        <is>
          <t>KRONOBERGS LÄN</t>
        </is>
      </c>
      <c r="G791" t="inlineStr">
        <is>
          <t>TINGSRYD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11080-2022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44628</v>
      </c>
      <c r="E792" s="1" t="n">
        <v>46218</v>
      </c>
      <c r="F792" t="inlineStr">
        <is>
          <t>KRONOBERGS LÄN</t>
        </is>
      </c>
      <c r="G792" t="inlineStr">
        <is>
          <t>TINGSRYD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8789-2022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44614</v>
      </c>
      <c r="E793" s="1" t="n">
        <v>46218</v>
      </c>
      <c r="F793" t="inlineStr">
        <is>
          <t>KRONOBERGS LÄN</t>
        </is>
      </c>
      <c r="G793" t="inlineStr">
        <is>
          <t>TINGSRYD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22876-2026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46160</v>
      </c>
      <c r="E794" s="1" t="n">
        <v>46218</v>
      </c>
      <c r="F794" t="inlineStr">
        <is>
          <t>KRONOBERGS LÄN</t>
        </is>
      </c>
      <c r="G794" t="inlineStr">
        <is>
          <t>TINGSRYD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32016-2023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45119</v>
      </c>
      <c r="E795" s="1" t="n">
        <v>46218</v>
      </c>
      <c r="F795" t="inlineStr">
        <is>
          <t>KRONOBERGS LÄN</t>
        </is>
      </c>
      <c r="G795" t="inlineStr">
        <is>
          <t>TINGSRYD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36337-2023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45152</v>
      </c>
      <c r="E796" s="1" t="n">
        <v>46218</v>
      </c>
      <c r="F796" t="inlineStr">
        <is>
          <t>KRONOBERGS LÄN</t>
        </is>
      </c>
      <c r="G796" t="inlineStr">
        <is>
          <t>TINGSRYD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28923-2026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46199</v>
      </c>
      <c r="E797" s="1" t="n">
        <v>46218</v>
      </c>
      <c r="F797" t="inlineStr">
        <is>
          <t>KRONOBERGS LÄN</t>
        </is>
      </c>
      <c r="G797" t="inlineStr">
        <is>
          <t>TINGSRYD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4755-2026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46048</v>
      </c>
      <c r="E798" s="1" t="n">
        <v>46218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3531-2025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45680</v>
      </c>
      <c r="E799" s="1" t="n">
        <v>46218</v>
      </c>
      <c r="F799" t="inlineStr">
        <is>
          <t>KRONOBERGS LÄN</t>
        </is>
      </c>
      <c r="G799" t="inlineStr">
        <is>
          <t>TINGSRYD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29377-2026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46203</v>
      </c>
      <c r="E800" s="1" t="n">
        <v>46218</v>
      </c>
      <c r="F800" t="inlineStr">
        <is>
          <t>KRONOBERGS LÄN</t>
        </is>
      </c>
      <c r="G800" t="inlineStr">
        <is>
          <t>TINGSRYD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44674-2024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45574</v>
      </c>
      <c r="E801" s="1" t="n">
        <v>46218</v>
      </c>
      <c r="F801" t="inlineStr">
        <is>
          <t>KRONOBERGS LÄN</t>
        </is>
      </c>
      <c r="G801" t="inlineStr">
        <is>
          <t>TINGSRYD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49987-2023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45215</v>
      </c>
      <c r="E802" s="1" t="n">
        <v>46218</v>
      </c>
      <c r="F802" t="inlineStr">
        <is>
          <t>KRONOBERGS LÄN</t>
        </is>
      </c>
      <c r="G802" t="inlineStr">
        <is>
          <t>TINGSRYD</t>
        </is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38861-2024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45547</v>
      </c>
      <c r="E803" s="1" t="n">
        <v>46218</v>
      </c>
      <c r="F803" t="inlineStr">
        <is>
          <t>KRONOBERGS LÄN</t>
        </is>
      </c>
      <c r="G803" t="inlineStr">
        <is>
          <t>TINGSRYD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46048</v>
      </c>
      <c r="E804" s="1" t="n">
        <v>46218</v>
      </c>
      <c r="F804" t="inlineStr">
        <is>
          <t>KRONOBERGS LÄN</t>
        </is>
      </c>
      <c r="G804" t="inlineStr">
        <is>
          <t>TINGSRYD</t>
        </is>
      </c>
      <c r="I804" t="n">
        <v>3.6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34761-2022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44795</v>
      </c>
      <c r="E805" s="1" t="n">
        <v>46218</v>
      </c>
      <c r="F805" t="inlineStr">
        <is>
          <t>KRONOBERGS LÄN</t>
        </is>
      </c>
      <c r="G805" t="inlineStr">
        <is>
          <t>TINGSRYD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22969-2024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45449</v>
      </c>
      <c r="E806" s="1" t="n">
        <v>46218</v>
      </c>
      <c r="F806" t="inlineStr">
        <is>
          <t>KRONOBERGS LÄN</t>
        </is>
      </c>
      <c r="G806" t="inlineStr">
        <is>
          <t>TINGSRYD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22970-2024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45449</v>
      </c>
      <c r="E807" s="1" t="n">
        <v>46218</v>
      </c>
      <c r="F807" t="inlineStr">
        <is>
          <t>KRONOBERGS LÄN</t>
        </is>
      </c>
      <c r="G807" t="inlineStr">
        <is>
          <t>TINGSRYD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55973-2023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46218</v>
      </c>
      <c r="F808" t="inlineStr">
        <is>
          <t>KRONOBERGS LÄN</t>
        </is>
      </c>
      <c r="G808" t="inlineStr">
        <is>
          <t>TINGSRYD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56001-2023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46218</v>
      </c>
      <c r="F809" t="inlineStr">
        <is>
          <t>KRONOBERGS LÄN</t>
        </is>
      </c>
      <c r="G809" t="inlineStr">
        <is>
          <t>TINGSRYD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39150-2023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45166</v>
      </c>
      <c r="E810" s="1" t="n">
        <v>46218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9826-2023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44984</v>
      </c>
      <c r="E811" s="1" t="n">
        <v>46218</v>
      </c>
      <c r="F811" t="inlineStr">
        <is>
          <t>KRONOBERGS LÄN</t>
        </is>
      </c>
      <c r="G811" t="inlineStr">
        <is>
          <t>TINGSRYD</t>
        </is>
      </c>
      <c r="I811" t="n">
        <v>12.4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44679-2024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45574</v>
      </c>
      <c r="E812" s="1" t="n">
        <v>46218</v>
      </c>
      <c r="F812" t="inlineStr">
        <is>
          <t>KRONOBERGS LÄN</t>
        </is>
      </c>
      <c r="G812" t="inlineStr">
        <is>
          <t>TINGSRYD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37126-2023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45155</v>
      </c>
      <c r="E813" s="1" t="n">
        <v>46218</v>
      </c>
      <c r="F813" t="inlineStr">
        <is>
          <t>KRONOBERGS LÄN</t>
        </is>
      </c>
      <c r="G813" t="inlineStr">
        <is>
          <t>TINGSRYD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30678-2023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45112</v>
      </c>
      <c r="E814" s="1" t="n">
        <v>46218</v>
      </c>
      <c r="F814" t="inlineStr">
        <is>
          <t>KRONOBERGS LÄN</t>
        </is>
      </c>
      <c r="G814" t="inlineStr">
        <is>
          <t>TINGSRYD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23389-2026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46162</v>
      </c>
      <c r="E815" s="1" t="n">
        <v>46218</v>
      </c>
      <c r="F815" t="inlineStr">
        <is>
          <t>KRONOBERGS LÄN</t>
        </is>
      </c>
      <c r="G815" t="inlineStr">
        <is>
          <t>TINGSRYD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23390-2026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46162</v>
      </c>
      <c r="E816" s="1" t="n">
        <v>46218</v>
      </c>
      <c r="F816" t="inlineStr">
        <is>
          <t>KRONOBERGS LÄN</t>
        </is>
      </c>
      <c r="G816" t="inlineStr">
        <is>
          <t>TINGSRYD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27397-2026</t>
        </is>
      </c>
      <c r="B817" t="inlineStr">
        <is>
          <t>avverkningsanmälan</t>
        </is>
      </c>
      <c r="C817" t="inlineStr">
        <is>
          <t>Avverkning för att bevara och utveckla /försöksver</t>
        </is>
      </c>
      <c r="D817" s="1" t="n">
        <v>46189</v>
      </c>
      <c r="E817" s="1" t="n">
        <v>46218</v>
      </c>
      <c r="F817" t="inlineStr">
        <is>
          <t>KRONOBERGS LÄN</t>
        </is>
      </c>
      <c r="G817" t="inlineStr">
        <is>
          <t>TINGSRYD</t>
        </is>
      </c>
      <c r="I817" t="n">
        <v>2.9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29592-2026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46204</v>
      </c>
      <c r="E818" s="1" t="n">
        <v>46218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8101-2026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46063</v>
      </c>
      <c r="E819" s="1" t="n">
        <v>46218</v>
      </c>
      <c r="F819" t="inlineStr">
        <is>
          <t>KRONOBERGS LÄN</t>
        </is>
      </c>
      <c r="G819" t="inlineStr">
        <is>
          <t>TINGSRYD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8039-2026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46063</v>
      </c>
      <c r="E820" s="1" t="n">
        <v>46218</v>
      </c>
      <c r="F820" t="inlineStr">
        <is>
          <t>KRONOBERGS LÄN</t>
        </is>
      </c>
      <c r="G820" t="inlineStr">
        <is>
          <t>TINGSRYD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29919-2026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46205</v>
      </c>
      <c r="E821" s="1" t="n">
        <v>46218</v>
      </c>
      <c r="F821" t="inlineStr">
        <is>
          <t>KRONOBERGS LÄN</t>
        </is>
      </c>
      <c r="G821" t="inlineStr">
        <is>
          <t>TINGSRYD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8107-2026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46063</v>
      </c>
      <c r="E822" s="1" t="n">
        <v>46218</v>
      </c>
      <c r="F822" t="inlineStr">
        <is>
          <t>KRONOBERGS LÄN</t>
        </is>
      </c>
      <c r="G822" t="inlineStr">
        <is>
          <t>TINGSRYD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27389-2026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46189</v>
      </c>
      <c r="E823" s="1" t="n">
        <v>46218</v>
      </c>
      <c r="F823" t="inlineStr">
        <is>
          <t>KRONOBERGS LÄN</t>
        </is>
      </c>
      <c r="G823" t="inlineStr">
        <is>
          <t>TINGSRYD</t>
        </is>
      </c>
      <c r="I823" t="n">
        <v>4.2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23936-2026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46167</v>
      </c>
      <c r="E824" s="1" t="n">
        <v>46218</v>
      </c>
      <c r="F824" t="inlineStr">
        <is>
          <t>KRONOBERGS LÄN</t>
        </is>
      </c>
      <c r="G824" t="inlineStr">
        <is>
          <t>TINGSRYD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30268-2026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46218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25256-2026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46175</v>
      </c>
      <c r="E826" s="1" t="n">
        <v>46218</v>
      </c>
      <c r="F826" t="inlineStr">
        <is>
          <t>KRONOBERGS LÄN</t>
        </is>
      </c>
      <c r="G826" t="inlineStr">
        <is>
          <t>TINGSRYD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23932-2026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46167</v>
      </c>
      <c r="E827" s="1" t="n">
        <v>46218</v>
      </c>
      <c r="F827" t="inlineStr">
        <is>
          <t>KRONOBERGS LÄN</t>
        </is>
      </c>
      <c r="G827" t="inlineStr">
        <is>
          <t>TINGSRYD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30016-2026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46206</v>
      </c>
      <c r="E828" s="1" t="n">
        <v>46218</v>
      </c>
      <c r="F828" t="inlineStr">
        <is>
          <t>KRONOBERGS LÄN</t>
        </is>
      </c>
      <c r="G828" t="inlineStr">
        <is>
          <t>TINGSRYD</t>
        </is>
      </c>
      <c r="I828" t="n">
        <v>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  <c r="X828">
        <f>HYPERLINK("https://klasma.github.io/Logging_0763/knärot/A 30016-2026 karta knärot.png", "A 30016-2026")</f>
        <v/>
      </c>
      <c r="Y828">
        <f>HYPERLINK("https://klasma.github.io/Logging_0763/klagomål/A 30016-2026 FSC-klagomål.docx", "A 30016-2026")</f>
        <v/>
      </c>
      <c r="Z828">
        <f>HYPERLINK("https://klasma.github.io/Logging_0763/klagomålsmail/A 30016-2026 FSC-klagomål mail.docx", "A 30016-2026")</f>
        <v/>
      </c>
      <c r="AA828">
        <f>HYPERLINK("https://klasma.github.io/Logging_0763/tillsyn/A 30016-2026 tillsynsbegäran.docx", "A 30016-2026")</f>
        <v/>
      </c>
      <c r="AB828">
        <f>HYPERLINK("https://klasma.github.io/Logging_0763/tillsynsmail/A 30016-2026 tillsynsbegäran mail.docx", "A 30016-2026")</f>
        <v/>
      </c>
    </row>
    <row r="829" ht="15" customHeight="1">
      <c r="A829" t="inlineStr">
        <is>
          <t>A 30276-2026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46206</v>
      </c>
      <c r="E829" s="1" t="n">
        <v>46218</v>
      </c>
      <c r="F829" t="inlineStr">
        <is>
          <t>KRONOBERGS LÄN</t>
        </is>
      </c>
      <c r="G829" t="inlineStr">
        <is>
          <t>TINGSRYD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23948-2026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46167</v>
      </c>
      <c r="E830" s="1" t="n">
        <v>46218</v>
      </c>
      <c r="F830" t="inlineStr">
        <is>
          <t>KRONOBERGS LÄN</t>
        </is>
      </c>
      <c r="G830" t="inlineStr">
        <is>
          <t>TINGSRYD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23950-2026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46218</v>
      </c>
      <c r="F831" t="inlineStr">
        <is>
          <t>KRONOBERGS LÄN</t>
        </is>
      </c>
      <c r="G831" t="inlineStr">
        <is>
          <t>TINGSRYD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30518-2026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46204</v>
      </c>
      <c r="E832" s="1" t="n">
        <v>46218</v>
      </c>
      <c r="F832" t="inlineStr">
        <is>
          <t>KRONOBERGS LÄN</t>
        </is>
      </c>
      <c r="G832" t="inlineStr">
        <is>
          <t>TINGSRYD</t>
        </is>
      </c>
      <c r="H832" t="inlineStr">
        <is>
          <t>Kyrkan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30521-2026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46204</v>
      </c>
      <c r="E833" s="1" t="n">
        <v>46218</v>
      </c>
      <c r="F833" t="inlineStr">
        <is>
          <t>KRONOBERGS LÄN</t>
        </is>
      </c>
      <c r="G833" t="inlineStr">
        <is>
          <t>TINGSRYD</t>
        </is>
      </c>
      <c r="H833" t="inlineStr">
        <is>
          <t>Kyrkan</t>
        </is>
      </c>
      <c r="I833" t="n">
        <v>3.7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30512-2026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46204</v>
      </c>
      <c r="E834" s="1" t="n">
        <v>46218</v>
      </c>
      <c r="F834" t="inlineStr">
        <is>
          <t>KRONOBERGS LÄN</t>
        </is>
      </c>
      <c r="G834" t="inlineStr">
        <is>
          <t>TINGSRYD</t>
        </is>
      </c>
      <c r="H834" t="inlineStr">
        <is>
          <t>Kyrkan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10668-2026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46078</v>
      </c>
      <c r="E835" s="1" t="n">
        <v>46218</v>
      </c>
      <c r="F835" t="inlineStr">
        <is>
          <t>KRONOBERGS LÄN</t>
        </is>
      </c>
      <c r="G835" t="inlineStr">
        <is>
          <t>TINGSRYD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24064-2026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46218</v>
      </c>
      <c r="F836" t="inlineStr">
        <is>
          <t>KRONOBERGS LÄN</t>
        </is>
      </c>
      <c r="G836" t="inlineStr">
        <is>
          <t>TINGSRYD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24057-2026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46168</v>
      </c>
      <c r="E837" s="1" t="n">
        <v>46218</v>
      </c>
      <c r="F837" t="inlineStr">
        <is>
          <t>KRONOBERGS LÄN</t>
        </is>
      </c>
      <c r="G837" t="inlineStr">
        <is>
          <t>TINGSRYD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24061-2026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46168</v>
      </c>
      <c r="E838" s="1" t="n">
        <v>46218</v>
      </c>
      <c r="F838" t="inlineStr">
        <is>
          <t>KRONOBERGS LÄN</t>
        </is>
      </c>
      <c r="G838" t="inlineStr">
        <is>
          <t>TINGSRYD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27905-2026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46191</v>
      </c>
      <c r="E839" s="1" t="n">
        <v>46218</v>
      </c>
      <c r="F839" t="inlineStr">
        <is>
          <t>KRONOBERGS LÄN</t>
        </is>
      </c>
      <c r="G839" t="inlineStr">
        <is>
          <t>TINGSRYD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30483-2026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46204</v>
      </c>
      <c r="E840" s="1" t="n">
        <v>46218</v>
      </c>
      <c r="F840" t="inlineStr">
        <is>
          <t>KRONOBERGS LÄN</t>
        </is>
      </c>
      <c r="G840" t="inlineStr">
        <is>
          <t>TINGSRYD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11513-2026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46083</v>
      </c>
      <c r="E841" s="1" t="n">
        <v>46218</v>
      </c>
      <c r="F841" t="inlineStr">
        <is>
          <t>KRONOBERGS LÄN</t>
        </is>
      </c>
      <c r="G841" t="inlineStr">
        <is>
          <t>TINGSRYD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11448-2026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46083</v>
      </c>
      <c r="E842" s="1" t="n">
        <v>46218</v>
      </c>
      <c r="F842" t="inlineStr">
        <is>
          <t>KRONOBERGS LÄN</t>
        </is>
      </c>
      <c r="G842" t="inlineStr">
        <is>
          <t>TINGSRYD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11451-2026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46083</v>
      </c>
      <c r="E843" s="1" t="n">
        <v>46218</v>
      </c>
      <c r="F843" t="inlineStr">
        <is>
          <t>KRONOBERGS LÄN</t>
        </is>
      </c>
      <c r="G843" t="inlineStr">
        <is>
          <t>TINGSRYD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11445-2026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46083</v>
      </c>
      <c r="E844" s="1" t="n">
        <v>46218</v>
      </c>
      <c r="F844" t="inlineStr">
        <is>
          <t>KRONOBERGS LÄN</t>
        </is>
      </c>
      <c r="G844" t="inlineStr">
        <is>
          <t>TINGSRYD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12122-2026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46086</v>
      </c>
      <c r="E845" s="1" t="n">
        <v>46218</v>
      </c>
      <c r="F845" t="inlineStr">
        <is>
          <t>KRONOBERGS LÄN</t>
        </is>
      </c>
      <c r="G845" t="inlineStr">
        <is>
          <t>TINGSRYD</t>
        </is>
      </c>
      <c r="H845" t="inlineStr">
        <is>
          <t>Övriga Aktiebolag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12133-2026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46086</v>
      </c>
      <c r="E846" s="1" t="n">
        <v>46218</v>
      </c>
      <c r="F846" t="inlineStr">
        <is>
          <t>KRONOBERGS LÄN</t>
        </is>
      </c>
      <c r="G846" t="inlineStr">
        <is>
          <t>TINGSRYD</t>
        </is>
      </c>
      <c r="I846" t="n">
        <v>4.2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31000-2026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46218</v>
      </c>
      <c r="F847" t="inlineStr">
        <is>
          <t>KRONOBERGS LÄN</t>
        </is>
      </c>
      <c r="G847" t="inlineStr">
        <is>
          <t>TINGSRYD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12126-2026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46086</v>
      </c>
      <c r="E848" s="1" t="n">
        <v>46218</v>
      </c>
      <c r="F848" t="inlineStr">
        <is>
          <t>KRONOBERGS LÄN</t>
        </is>
      </c>
      <c r="G848" t="inlineStr">
        <is>
          <t>TINGSRYD</t>
        </is>
      </c>
      <c r="H848" t="inlineStr">
        <is>
          <t>Övriga Aktiebolag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31017-2026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46213</v>
      </c>
      <c r="E849" s="1" t="n">
        <v>46218</v>
      </c>
      <c r="F849" t="inlineStr">
        <is>
          <t>KRONOBERGS LÄN</t>
        </is>
      </c>
      <c r="G849" t="inlineStr">
        <is>
          <t>TINGSRYD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12388-2026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46090</v>
      </c>
      <c r="E850" s="1" t="n">
        <v>46218</v>
      </c>
      <c r="F850" t="inlineStr">
        <is>
          <t>KRONOBERGS LÄN</t>
        </is>
      </c>
      <c r="G850" t="inlineStr">
        <is>
          <t>TINGSRYD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30993-2026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46213</v>
      </c>
      <c r="E851" s="1" t="n">
        <v>46218</v>
      </c>
      <c r="F851" t="inlineStr">
        <is>
          <t>KRONOBERGS LÄN</t>
        </is>
      </c>
      <c r="G851" t="inlineStr">
        <is>
          <t>TINGSRYD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24707-2026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46171</v>
      </c>
      <c r="E852" s="1" t="n">
        <v>46218</v>
      </c>
      <c r="F852" t="inlineStr">
        <is>
          <t>KRONOBERGS LÄN</t>
        </is>
      </c>
      <c r="G852" t="inlineStr">
        <is>
          <t>TINGSRYD</t>
        </is>
      </c>
      <c r="H852" t="inlineStr">
        <is>
          <t>Övriga Aktiebolag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25152-2026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46175</v>
      </c>
      <c r="E853" s="1" t="n">
        <v>46218</v>
      </c>
      <c r="F853" t="inlineStr">
        <is>
          <t>KRONOBERGS LÄN</t>
        </is>
      </c>
      <c r="G853" t="inlineStr">
        <is>
          <t>TINGSRYD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57379-2024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45629</v>
      </c>
      <c r="E854" s="1" t="n">
        <v>46218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13928-2026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46098</v>
      </c>
      <c r="E855" s="1" t="n">
        <v>46218</v>
      </c>
      <c r="F855" t="inlineStr">
        <is>
          <t>KRONOBERGS LÄN</t>
        </is>
      </c>
      <c r="G855" t="inlineStr">
        <is>
          <t>TINGSRYD</t>
        </is>
      </c>
      <c r="I855" t="n">
        <v>2.9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14375-2026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46100</v>
      </c>
      <c r="E856" s="1" t="n">
        <v>46218</v>
      </c>
      <c r="F856" t="inlineStr">
        <is>
          <t>KRONOBERGS LÄN</t>
        </is>
      </c>
      <c r="G856" t="inlineStr">
        <is>
          <t>TINGSRYD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25146-2026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46175</v>
      </c>
      <c r="E857" s="1" t="n">
        <v>46218</v>
      </c>
      <c r="F857" t="inlineStr">
        <is>
          <t>KRONOBERGS LÄN</t>
        </is>
      </c>
      <c r="G857" t="inlineStr">
        <is>
          <t>TINGSRYD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14852-2026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46104</v>
      </c>
      <c r="E858" s="1" t="n">
        <v>46218</v>
      </c>
      <c r="F858" t="inlineStr">
        <is>
          <t>KRONOBERGS LÄN</t>
        </is>
      </c>
      <c r="G858" t="inlineStr">
        <is>
          <t>TINGSRYD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14743-2026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46101</v>
      </c>
      <c r="E859" s="1" t="n">
        <v>46218</v>
      </c>
      <c r="F859" t="inlineStr">
        <is>
          <t>KRONOBERGS LÄN</t>
        </is>
      </c>
      <c r="G859" t="inlineStr">
        <is>
          <t>TINGSRYD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14902-2026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46104</v>
      </c>
      <c r="E860" s="1" t="n">
        <v>46218</v>
      </c>
      <c r="F860" t="inlineStr">
        <is>
          <t>KRONOBERGS LÄN</t>
        </is>
      </c>
      <c r="G860" t="inlineStr">
        <is>
          <t>TINGSRYD</t>
        </is>
      </c>
      <c r="H860" t="inlineStr">
        <is>
          <t>Övriga Aktiebolag</t>
        </is>
      </c>
      <c r="I860" t="n">
        <v>5.3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14651-2026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46101</v>
      </c>
      <c r="E861" s="1" t="n">
        <v>46218</v>
      </c>
      <c r="F861" t="inlineStr">
        <is>
          <t>KRONOBERGS LÄN</t>
        </is>
      </c>
      <c r="G861" t="inlineStr">
        <is>
          <t>TINGSRYD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15527-2026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46106</v>
      </c>
      <c r="E862" s="1" t="n">
        <v>46218</v>
      </c>
      <c r="F862" t="inlineStr">
        <is>
          <t>KRONOBERGS LÄN</t>
        </is>
      </c>
      <c r="G862" t="inlineStr">
        <is>
          <t>TINGSRYD</t>
        </is>
      </c>
      <c r="H862" t="inlineStr">
        <is>
          <t>Övriga Aktiebolag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16014-2026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46108</v>
      </c>
      <c r="E863" s="1" t="n">
        <v>46218</v>
      </c>
      <c r="F863" t="inlineStr">
        <is>
          <t>KRONOBERGS LÄN</t>
        </is>
      </c>
      <c r="G863" t="inlineStr">
        <is>
          <t>TINGSRYD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15998-2026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46108</v>
      </c>
      <c r="E864" s="1" t="n">
        <v>46218</v>
      </c>
      <c r="F864" t="inlineStr">
        <is>
          <t>KRONOBERGS LÄN</t>
        </is>
      </c>
      <c r="G864" t="inlineStr">
        <is>
          <t>TINGSRYD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16010-2026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46218</v>
      </c>
      <c r="F865" t="inlineStr">
        <is>
          <t>KRONOBERGS LÄN</t>
        </is>
      </c>
      <c r="G865" t="inlineStr">
        <is>
          <t>TINGSRYD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16007-2026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46108</v>
      </c>
      <c r="E866" s="1" t="n">
        <v>46218</v>
      </c>
      <c r="F866" t="inlineStr">
        <is>
          <t>KRONOBERGS LÄN</t>
        </is>
      </c>
      <c r="G866" t="inlineStr">
        <is>
          <t>TINGSRYD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16761-2026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46113</v>
      </c>
      <c r="E867" s="1" t="n">
        <v>46218</v>
      </c>
      <c r="F867" t="inlineStr">
        <is>
          <t>KRONOBERGS LÄN</t>
        </is>
      </c>
      <c r="G867" t="inlineStr">
        <is>
          <t>TINGSRYD</t>
        </is>
      </c>
      <c r="I867" t="n">
        <v>6.8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17544-2026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46120</v>
      </c>
      <c r="E868" s="1" t="n">
        <v>46218</v>
      </c>
      <c r="F868" t="inlineStr">
        <is>
          <t>KRONOBERGS LÄN</t>
        </is>
      </c>
      <c r="G868" t="inlineStr">
        <is>
          <t>TINGSRYD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17546-2026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46120</v>
      </c>
      <c r="E869" s="1" t="n">
        <v>46218</v>
      </c>
      <c r="F869" t="inlineStr">
        <is>
          <t>KRONOBERGS LÄN</t>
        </is>
      </c>
      <c r="G869" t="inlineStr">
        <is>
          <t>TINGSRYD</t>
        </is>
      </c>
      <c r="I869" t="n">
        <v>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17240-2026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46119</v>
      </c>
      <c r="E870" s="1" t="n">
        <v>46218</v>
      </c>
      <c r="F870" t="inlineStr">
        <is>
          <t>KRONOBERGS LÄN</t>
        </is>
      </c>
      <c r="G870" t="inlineStr">
        <is>
          <t>TINGSRYD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17479-2026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46120</v>
      </c>
      <c r="E871" s="1" t="n">
        <v>46218</v>
      </c>
      <c r="F871" t="inlineStr">
        <is>
          <t>KRONOBERGS LÄN</t>
        </is>
      </c>
      <c r="G871" t="inlineStr">
        <is>
          <t>TINGSRYD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17483-2026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46120</v>
      </c>
      <c r="E872" s="1" t="n">
        <v>46218</v>
      </c>
      <c r="F872" t="inlineStr">
        <is>
          <t>KRONOBERGS LÄN</t>
        </is>
      </c>
      <c r="G872" t="inlineStr">
        <is>
          <t>TINGSRYD</t>
        </is>
      </c>
      <c r="I872" t="n">
        <v>0.2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15252-2026</t>
        </is>
      </c>
      <c r="B873" t="inlineStr">
        <is>
          <t>avverkningsanmälan</t>
        </is>
      </c>
      <c r="C873" t="inlineStr">
        <is>
          <t>Avverkning för annat ändamål</t>
        </is>
      </c>
      <c r="D873" s="1" t="n">
        <v>46105</v>
      </c>
      <c r="E873" s="1" t="n">
        <v>46218</v>
      </c>
      <c r="F873" t="inlineStr">
        <is>
          <t>KRONOBERGS LÄN</t>
        </is>
      </c>
      <c r="G873" t="inlineStr">
        <is>
          <t>TINGSRYD</t>
        </is>
      </c>
      <c r="I873" t="n">
        <v>2.8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19341-2026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46218</v>
      </c>
      <c r="F874" t="inlineStr">
        <is>
          <t>KRONOBERGS LÄN</t>
        </is>
      </c>
      <c r="G874" t="inlineStr">
        <is>
          <t>TINGSRYD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19353-2026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46218</v>
      </c>
      <c r="F875" t="inlineStr">
        <is>
          <t>KRONOBERGS LÄN</t>
        </is>
      </c>
      <c r="G875" t="inlineStr">
        <is>
          <t>TINGSRYD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19052-2026</t>
        </is>
      </c>
      <c r="B876" t="inlineStr">
        <is>
          <t>avverkningsanmälan</t>
        </is>
      </c>
      <c r="C876" t="inlineStr">
        <is>
          <t>Avverkning för att bevara och utveckla /försöksver</t>
        </is>
      </c>
      <c r="D876" s="1" t="n">
        <v>46132</v>
      </c>
      <c r="E876" s="1" t="n">
        <v>46218</v>
      </c>
      <c r="F876" t="inlineStr">
        <is>
          <t>KRONOBERGS LÄN</t>
        </is>
      </c>
      <c r="G876" t="inlineStr">
        <is>
          <t>TINGSRYD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19036-2026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46132</v>
      </c>
      <c r="E877" s="1" t="n">
        <v>46218</v>
      </c>
      <c r="F877" t="inlineStr">
        <is>
          <t>KRONOBERGS LÄN</t>
        </is>
      </c>
      <c r="G877" t="inlineStr">
        <is>
          <t>TINGSRYD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25471-2026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46177</v>
      </c>
      <c r="E878" s="1" t="n">
        <v>46218</v>
      </c>
      <c r="F878" t="inlineStr">
        <is>
          <t>KRONOBERGS LÄN</t>
        </is>
      </c>
      <c r="G878" t="inlineStr">
        <is>
          <t>TINGSRYD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25329-2026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46176</v>
      </c>
      <c r="E879" s="1" t="n">
        <v>46218</v>
      </c>
      <c r="F879" t="inlineStr">
        <is>
          <t>KRONOBERGS LÄN</t>
        </is>
      </c>
      <c r="G879" t="inlineStr">
        <is>
          <t>TINGSRYD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19784-2026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46135</v>
      </c>
      <c r="E880" s="1" t="n">
        <v>46218</v>
      </c>
      <c r="F880" t="inlineStr">
        <is>
          <t>KRONOBERGS LÄN</t>
        </is>
      </c>
      <c r="G880" t="inlineStr">
        <is>
          <t>TINGSRYD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21508-2025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45782</v>
      </c>
      <c r="E881" s="1" t="n">
        <v>46218</v>
      </c>
      <c r="F881" t="inlineStr">
        <is>
          <t>KRONOBERGS LÄN</t>
        </is>
      </c>
      <c r="G881" t="inlineStr">
        <is>
          <t>TINGSRYD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19612-2026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46218</v>
      </c>
      <c r="F882" t="inlineStr">
        <is>
          <t>KRONOBERGS LÄN</t>
        </is>
      </c>
      <c r="G882" t="inlineStr">
        <is>
          <t>TINGSRYD</t>
        </is>
      </c>
      <c r="I882" t="n">
        <v>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41833-2025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45902</v>
      </c>
      <c r="E883" s="1" t="n">
        <v>46218</v>
      </c>
      <c r="F883" t="inlineStr">
        <is>
          <t>KRONOBERGS LÄN</t>
        </is>
      </c>
      <c r="G883" t="inlineStr">
        <is>
          <t>TINGSRYD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59584-2025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45992</v>
      </c>
      <c r="E884" s="1" t="n">
        <v>46218</v>
      </c>
      <c r="F884" t="inlineStr">
        <is>
          <t>KRONOBERGS LÄN</t>
        </is>
      </c>
      <c r="G884" t="inlineStr">
        <is>
          <t>TINGSRYD</t>
        </is>
      </c>
      <c r="I884" t="n">
        <v>3.5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49739-2024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45596</v>
      </c>
      <c r="E885" s="1" t="n">
        <v>46218</v>
      </c>
      <c r="F885" t="inlineStr">
        <is>
          <t>KRONOBERGS LÄN</t>
        </is>
      </c>
      <c r="G885" t="inlineStr">
        <is>
          <t>TINGSRYD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28965-2025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45821</v>
      </c>
      <c r="E886" s="1" t="n">
        <v>46218</v>
      </c>
      <c r="F886" t="inlineStr">
        <is>
          <t>KRONOBERGS LÄN</t>
        </is>
      </c>
      <c r="G886" t="inlineStr">
        <is>
          <t>TINGSRYD</t>
        </is>
      </c>
      <c r="I886" t="n">
        <v>8.9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36783-2025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45873</v>
      </c>
      <c r="E887" s="1" t="n">
        <v>46218</v>
      </c>
      <c r="F887" t="inlineStr">
        <is>
          <t>KRONOBERGS LÄN</t>
        </is>
      </c>
      <c r="G887" t="inlineStr">
        <is>
          <t>TINGSRYD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16955-2025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45755</v>
      </c>
      <c r="E888" s="1" t="n">
        <v>46218</v>
      </c>
      <c r="F888" t="inlineStr">
        <is>
          <t>KRONOBERGS LÄN</t>
        </is>
      </c>
      <c r="G888" t="inlineStr">
        <is>
          <t>TINGSRYD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61935-2025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46003</v>
      </c>
      <c r="E889" s="1" t="n">
        <v>46218</v>
      </c>
      <c r="F889" t="inlineStr">
        <is>
          <t>KRONOBERGS LÄN</t>
        </is>
      </c>
      <c r="G889" t="inlineStr">
        <is>
          <t>TINGSRYD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33722-2025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45841</v>
      </c>
      <c r="E890" s="1" t="n">
        <v>46218</v>
      </c>
      <c r="F890" t="inlineStr">
        <is>
          <t>KRONOBERGS LÄN</t>
        </is>
      </c>
      <c r="G890" t="inlineStr">
        <is>
          <t>TINGSRYD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46558-2025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45926</v>
      </c>
      <c r="E891" s="1" t="n">
        <v>46218</v>
      </c>
      <c r="F891" t="inlineStr">
        <is>
          <t>KRONOBERGS LÄN</t>
        </is>
      </c>
      <c r="G891" t="inlineStr">
        <is>
          <t>TINGSRYD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21508-2023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45063</v>
      </c>
      <c r="E892" s="1" t="n">
        <v>46218</v>
      </c>
      <c r="F892" t="inlineStr">
        <is>
          <t>KRONOBERGS LÄN</t>
        </is>
      </c>
      <c r="G892" t="inlineStr">
        <is>
          <t>TINGSRYD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27421-2024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45474</v>
      </c>
      <c r="E893" s="1" t="n">
        <v>46218</v>
      </c>
      <c r="F893" t="inlineStr">
        <is>
          <t>KRONOBERGS LÄN</t>
        </is>
      </c>
      <c r="G893" t="inlineStr">
        <is>
          <t>TINGSRYD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1331-2026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46031</v>
      </c>
      <c r="E894" s="1" t="n">
        <v>46218</v>
      </c>
      <c r="F894" t="inlineStr">
        <is>
          <t>KRONOBERGS LÄN</t>
        </is>
      </c>
      <c r="G894" t="inlineStr">
        <is>
          <t>TINGSRYD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40865-2025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45897</v>
      </c>
      <c r="E895" s="1" t="n">
        <v>46218</v>
      </c>
      <c r="F895" t="inlineStr">
        <is>
          <t>KRONOBERGS LÄN</t>
        </is>
      </c>
      <c r="G895" t="inlineStr">
        <is>
          <t>TINGSRYD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S 1037-2024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45387</v>
      </c>
      <c r="E896" s="1" t="n">
        <v>46218</v>
      </c>
      <c r="F896" t="inlineStr">
        <is>
          <t>KRONOBERGS LÄN</t>
        </is>
      </c>
      <c r="G896" t="inlineStr">
        <is>
          <t>TINGSRYD</t>
        </is>
      </c>
      <c r="I896" t="n">
        <v>21.1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1046-2024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45387</v>
      </c>
      <c r="E897" s="1" t="n">
        <v>46218</v>
      </c>
      <c r="F897" t="inlineStr">
        <is>
          <t>KRONOBERGS LÄN</t>
        </is>
      </c>
      <c r="G897" t="inlineStr">
        <is>
          <t>TINGSRYD</t>
        </is>
      </c>
      <c r="I897" t="n">
        <v>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2146-2024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45456</v>
      </c>
      <c r="E898" s="1" t="n">
        <v>46218</v>
      </c>
      <c r="F898" t="inlineStr">
        <is>
          <t>KRONOBERGS LÄN</t>
        </is>
      </c>
      <c r="G898" t="inlineStr">
        <is>
          <t>TINGSRYD</t>
        </is>
      </c>
      <c r="I898" t="n">
        <v>24.1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4641-2024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45602</v>
      </c>
      <c r="E899" s="1" t="n">
        <v>46218</v>
      </c>
      <c r="F899" t="inlineStr">
        <is>
          <t>KRONOBERGS LÄN</t>
        </is>
      </c>
      <c r="G899" t="inlineStr">
        <is>
          <t>TINGSRYD</t>
        </is>
      </c>
      <c r="I899" t="n">
        <v>17.9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6823-2022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44894</v>
      </c>
      <c r="E900" s="1" t="n">
        <v>46218</v>
      </c>
      <c r="F900" t="inlineStr">
        <is>
          <t>KRONOBERGS LÄN</t>
        </is>
      </c>
      <c r="G900" t="inlineStr">
        <is>
          <t>TINGSRYD</t>
        </is>
      </c>
      <c r="I900" t="n">
        <v>60.6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5750-2021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44438</v>
      </c>
      <c r="E901" s="1" t="n">
        <v>46218</v>
      </c>
      <c r="F901" t="inlineStr">
        <is>
          <t>KRONOBERGS LÄN</t>
        </is>
      </c>
      <c r="G901" t="inlineStr">
        <is>
          <t>TINGSRYD</t>
        </is>
      </c>
      <c r="I901" t="n">
        <v>13.3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1943-2024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45443</v>
      </c>
      <c r="E902" s="1" t="n">
        <v>46218</v>
      </c>
      <c r="F902" t="inlineStr">
        <is>
          <t>KRONOBERGS LÄN</t>
        </is>
      </c>
      <c r="G902" t="inlineStr">
        <is>
          <t>TINGSRYD</t>
        </is>
      </c>
      <c r="I902" t="n">
        <v>24.1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2051-2022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44672</v>
      </c>
      <c r="E903" s="1" t="n">
        <v>46218</v>
      </c>
      <c r="F903" t="inlineStr">
        <is>
          <t>KRONOBERGS LÄN</t>
        </is>
      </c>
      <c r="G903" t="inlineStr">
        <is>
          <t>TINGSRYD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6684-2022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44888</v>
      </c>
      <c r="E904" s="1" t="n">
        <v>46218</v>
      </c>
      <c r="F904" t="inlineStr">
        <is>
          <t>KRONOBERGS LÄN</t>
        </is>
      </c>
      <c r="G904" t="inlineStr">
        <is>
          <t>TINGSRYD</t>
        </is>
      </c>
      <c r="I904" t="n">
        <v>45.8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6944-2022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44900</v>
      </c>
      <c r="E905" s="1" t="n">
        <v>46218</v>
      </c>
      <c r="F905" t="inlineStr">
        <is>
          <t>KRONOBERGS LÄN</t>
        </is>
      </c>
      <c r="G905" t="inlineStr">
        <is>
          <t>TINGSRYD</t>
        </is>
      </c>
      <c r="I905" t="n">
        <v>71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691-2024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45359</v>
      </c>
      <c r="E906" s="1" t="n">
        <v>46218</v>
      </c>
      <c r="F906" t="inlineStr">
        <is>
          <t>KRONOBERGS LÄN</t>
        </is>
      </c>
      <c r="G906" t="inlineStr">
        <is>
          <t>TINGSRYD</t>
        </is>
      </c>
      <c r="I906" t="n">
        <v>15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690-2024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45359</v>
      </c>
      <c r="E907" s="1" t="n">
        <v>46218</v>
      </c>
      <c r="F907" t="inlineStr">
        <is>
          <t>KRONOBERGS LÄN</t>
        </is>
      </c>
      <c r="G907" t="inlineStr">
        <is>
          <t>TINGSRYD</t>
        </is>
      </c>
      <c r="I907" t="n">
        <v>37.8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3193-2022</t>
        </is>
      </c>
      <c r="B908" t="inlineStr">
        <is>
          <t>samrådsanmälan</t>
        </is>
      </c>
      <c r="C908" t="inlineStr">
        <is>
          <t>Åtgärd i nyckelbiotop</t>
        </is>
      </c>
      <c r="D908" s="1" t="n">
        <v>44722</v>
      </c>
      <c r="E908" s="1" t="n">
        <v>46218</v>
      </c>
      <c r="F908" t="inlineStr">
        <is>
          <t>KRONOBERGS LÄN</t>
        </is>
      </c>
      <c r="G908" t="inlineStr">
        <is>
          <t>TINGSRYD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1040-2024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45387</v>
      </c>
      <c r="E909" s="1" t="n">
        <v>46218</v>
      </c>
      <c r="F909" t="inlineStr">
        <is>
          <t>KRONOBERGS LÄN</t>
        </is>
      </c>
      <c r="G909" t="inlineStr">
        <is>
          <t>TINGSRYD</t>
        </is>
      </c>
      <c r="I909" t="n">
        <v>33.6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2531-2023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45128</v>
      </c>
      <c r="E910" s="1" t="n">
        <v>46218</v>
      </c>
      <c r="F910" t="inlineStr">
        <is>
          <t>KRONOBERGS LÄN</t>
        </is>
      </c>
      <c r="G910" t="inlineStr">
        <is>
          <t>TINGSRYD</t>
        </is>
      </c>
      <c r="I910" t="n">
        <v>17.9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1047-2024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46218</v>
      </c>
      <c r="F911" t="inlineStr">
        <is>
          <t>KRONOBERGS LÄN</t>
        </is>
      </c>
      <c r="G911" t="inlineStr">
        <is>
          <t>TINGSRYD</t>
        </is>
      </c>
      <c r="I911" t="n">
        <v>9.4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710-2024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45362</v>
      </c>
      <c r="E912" s="1" t="n">
        <v>46218</v>
      </c>
      <c r="F912" t="inlineStr">
        <is>
          <t>KRONOBERGS LÄN</t>
        </is>
      </c>
      <c r="G912" t="inlineStr">
        <is>
          <t>TINGSRYD</t>
        </is>
      </c>
      <c r="I912" t="n">
        <v>26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3395-2024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45534</v>
      </c>
      <c r="E913" s="1" t="n">
        <v>46218</v>
      </c>
      <c r="F913" t="inlineStr">
        <is>
          <t>KRONOBERGS LÄN</t>
        </is>
      </c>
      <c r="G913" t="inlineStr">
        <is>
          <t>TINGSRYD</t>
        </is>
      </c>
      <c r="I913" t="n">
        <v>36.4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6989-2022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44901</v>
      </c>
      <c r="E914" s="1" t="n">
        <v>46218</v>
      </c>
      <c r="F914" t="inlineStr">
        <is>
          <t>KRONOBERGS LÄN</t>
        </is>
      </c>
      <c r="G914" t="inlineStr">
        <is>
          <t>TINGSRYD</t>
        </is>
      </c>
      <c r="I914" t="n">
        <v>97.7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4636-2022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44792</v>
      </c>
      <c r="E915" s="1" t="n">
        <v>46218</v>
      </c>
      <c r="F915" t="inlineStr">
        <is>
          <t>KRONOBERGS LÄN</t>
        </is>
      </c>
      <c r="G915" t="inlineStr">
        <is>
          <t>TINGSRYD</t>
        </is>
      </c>
      <c r="H915" t="inlineStr">
        <is>
          <t>Kyrkan</t>
        </is>
      </c>
      <c r="I915" t="n">
        <v>51.2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709-2024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45362</v>
      </c>
      <c r="E916" s="1" t="n">
        <v>46218</v>
      </c>
      <c r="F916" t="inlineStr">
        <is>
          <t>KRONOBERGS LÄN</t>
        </is>
      </c>
      <c r="G916" t="inlineStr">
        <is>
          <t>TINGSRYD</t>
        </is>
      </c>
      <c r="I916" t="n">
        <v>81.7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363-2024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45330</v>
      </c>
      <c r="E917" s="1" t="n">
        <v>46218</v>
      </c>
      <c r="F917" t="inlineStr">
        <is>
          <t>KRONOBERGS LÄN</t>
        </is>
      </c>
      <c r="G917" t="inlineStr">
        <is>
          <t>TINGSRYD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6544-2022</t>
        </is>
      </c>
      <c r="B918" t="inlineStr">
        <is>
          <t>samrådsanmälan</t>
        </is>
      </c>
      <c r="C918" t="inlineStr">
        <is>
          <t>Annan skogsbruksåtgärd</t>
        </is>
      </c>
      <c r="D918" s="1" t="n">
        <v>44883</v>
      </c>
      <c r="E918" s="1" t="n">
        <v>46218</v>
      </c>
      <c r="F918" t="inlineStr">
        <is>
          <t>KRONOBERGS LÄN</t>
        </is>
      </c>
      <c r="G918" t="inlineStr">
        <is>
          <t>TINGSRYD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360-2024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46218</v>
      </c>
      <c r="F919" t="inlineStr">
        <is>
          <t>KRONOBERGS LÄN</t>
        </is>
      </c>
      <c r="G919" t="inlineStr">
        <is>
          <t>TINGSRYD</t>
        </is>
      </c>
      <c r="I919" t="n">
        <v>17.8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70-2023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44928</v>
      </c>
      <c r="E920" s="1" t="n">
        <v>46218</v>
      </c>
      <c r="F920" t="inlineStr">
        <is>
          <t>KRONOBERGS LÄN</t>
        </is>
      </c>
      <c r="G920" t="inlineStr">
        <is>
          <t>TINGSRYD</t>
        </is>
      </c>
      <c r="I920" t="n">
        <v>25.4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2627-2024</t>
        </is>
      </c>
      <c r="B921" t="inlineStr">
        <is>
          <t>samrådsanmälan</t>
        </is>
      </c>
      <c r="C921" t="inlineStr">
        <is>
          <t>Annan skogsbruksåtgärd</t>
        </is>
      </c>
      <c r="D921" s="1" t="n">
        <v>45477</v>
      </c>
      <c r="E921" s="1" t="n">
        <v>46218</v>
      </c>
      <c r="F921" t="inlineStr">
        <is>
          <t>KRONOBERGS LÄN</t>
        </is>
      </c>
      <c r="G921" t="inlineStr">
        <is>
          <t>TINGSRYD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600-2023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44971</v>
      </c>
      <c r="E922" s="1" t="n">
        <v>46218</v>
      </c>
      <c r="F922" t="inlineStr">
        <is>
          <t>KRONOBERGS LÄN</t>
        </is>
      </c>
      <c r="G922" t="inlineStr">
        <is>
          <t>TINGSRYD</t>
        </is>
      </c>
      <c r="I922" t="n">
        <v>8.1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6948-2022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44900</v>
      </c>
      <c r="E923" s="1" t="n">
        <v>46218</v>
      </c>
      <c r="F923" t="inlineStr">
        <is>
          <t>KRONOBERGS LÄN</t>
        </is>
      </c>
      <c r="G923" t="inlineStr">
        <is>
          <t>TINGSRYD</t>
        </is>
      </c>
      <c r="I923" t="n">
        <v>16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602-2023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46218</v>
      </c>
      <c r="F924" t="inlineStr">
        <is>
          <t>KRONOBERGS LÄN</t>
        </is>
      </c>
      <c r="G924" t="inlineStr">
        <is>
          <t>TINGSRYD</t>
        </is>
      </c>
      <c r="I924" t="n">
        <v>7.3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3883-2023</t>
        </is>
      </c>
      <c r="B925" t="inlineStr">
        <is>
          <t>samrådsanmälan</t>
        </is>
      </c>
      <c r="C925" t="inlineStr">
        <is>
          <t>Annan skogsbruksåtgärd</t>
        </is>
      </c>
      <c r="D925" s="1" t="n">
        <v>45230</v>
      </c>
      <c r="E925" s="1" t="n">
        <v>46218</v>
      </c>
      <c r="F925" t="inlineStr">
        <is>
          <t>KRONOBERGS LÄN</t>
        </is>
      </c>
      <c r="G925" t="inlineStr">
        <is>
          <t>TINGSRYD</t>
        </is>
      </c>
      <c r="I925" t="n">
        <v>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807-2025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45730</v>
      </c>
      <c r="E926" s="1" t="n">
        <v>46218</v>
      </c>
      <c r="F926" t="inlineStr">
        <is>
          <t>KRONOBERGS LÄN</t>
        </is>
      </c>
      <c r="G926" t="inlineStr">
        <is>
          <t>TINGSRYD</t>
        </is>
      </c>
      <c r="I926" t="n">
        <v>17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30-2025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45665</v>
      </c>
      <c r="E927" s="1" t="n">
        <v>46218</v>
      </c>
      <c r="F927" t="inlineStr">
        <is>
          <t>KRONOBERGS LÄN</t>
        </is>
      </c>
      <c r="G927" t="inlineStr">
        <is>
          <t>TINGSRYD</t>
        </is>
      </c>
      <c r="I927" t="n">
        <v>12.5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759-2025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45727</v>
      </c>
      <c r="E928" s="1" t="n">
        <v>46218</v>
      </c>
      <c r="F928" t="inlineStr">
        <is>
          <t>KRONOBERGS LÄN</t>
        </is>
      </c>
      <c r="G928" t="inlineStr">
        <is>
          <t>TINGSRYD</t>
        </is>
      </c>
      <c r="I928" t="n">
        <v>38.5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31-2025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46218</v>
      </c>
      <c r="F929" t="inlineStr">
        <is>
          <t>KRONOBERGS LÄN</t>
        </is>
      </c>
      <c r="G929" t="inlineStr">
        <is>
          <t>TINGSRYD</t>
        </is>
      </c>
      <c r="I929" t="n">
        <v>10.5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1718-2025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45807</v>
      </c>
      <c r="E930" s="1" t="n">
        <v>46218</v>
      </c>
      <c r="F930" t="inlineStr">
        <is>
          <t>KRONOBERGS LÄN</t>
        </is>
      </c>
      <c r="G930" t="inlineStr">
        <is>
          <t>TINGSRYD</t>
        </is>
      </c>
      <c r="I930" t="n">
        <v>23.5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1720-2025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46218</v>
      </c>
      <c r="F931" t="inlineStr">
        <is>
          <t>KRONOBERGS LÄN</t>
        </is>
      </c>
      <c r="G931" t="inlineStr">
        <is>
          <t>TINGSRYD</t>
        </is>
      </c>
      <c r="I931" t="n">
        <v>25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106-2026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46038</v>
      </c>
      <c r="E932" s="1" t="n">
        <v>46218</v>
      </c>
      <c r="F932" t="inlineStr">
        <is>
          <t>KRONOBERGS LÄN</t>
        </is>
      </c>
      <c r="G932" t="inlineStr">
        <is>
          <t>TINGSRYD</t>
        </is>
      </c>
      <c r="I932" t="n">
        <v>27.3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132-2026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46042</v>
      </c>
      <c r="E933" s="1" t="n">
        <v>46218</v>
      </c>
      <c r="F933" t="inlineStr">
        <is>
          <t>KRONOBERGS LÄN</t>
        </is>
      </c>
      <c r="G933" t="inlineStr">
        <is>
          <t>TINGSRYD</t>
        </is>
      </c>
      <c r="I933" t="n">
        <v>30.2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133-2026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46218</v>
      </c>
      <c r="F934" t="inlineStr">
        <is>
          <t>KRONOBERGS LÄN</t>
        </is>
      </c>
      <c r="G934" t="inlineStr">
        <is>
          <t>TINGSRYD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131-2026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46218</v>
      </c>
      <c r="F935" t="inlineStr">
        <is>
          <t>KRONOBERGS LÄN</t>
        </is>
      </c>
      <c r="G935" t="inlineStr">
        <is>
          <t>TINGSRYD</t>
        </is>
      </c>
      <c r="I935" t="n">
        <v>35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134-2026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46218</v>
      </c>
      <c r="F936" t="inlineStr">
        <is>
          <t>KRONOBERGS LÄN</t>
        </is>
      </c>
      <c r="G936" t="inlineStr">
        <is>
          <t>TINGSRYD</t>
        </is>
      </c>
      <c r="I936" t="n">
        <v>5.3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175-2026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46045</v>
      </c>
      <c r="E937" s="1" t="n">
        <v>46218</v>
      </c>
      <c r="F937" t="inlineStr">
        <is>
          <t>KRONOBERGS LÄN</t>
        </is>
      </c>
      <c r="G937" t="inlineStr">
        <is>
          <t>TINGSRYD</t>
        </is>
      </c>
      <c r="I937" t="n">
        <v>13.3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1090-2026</t>
        </is>
      </c>
      <c r="B938" t="inlineStr">
        <is>
          <t>samrådsanmälan</t>
        </is>
      </c>
      <c r="C938" t="inlineStr">
        <is>
          <t>Annan skogsbruksåtgärd</t>
        </is>
      </c>
      <c r="D938" s="1" t="n">
        <v>46132</v>
      </c>
      <c r="E938" s="1" t="n">
        <v>46218</v>
      </c>
      <c r="F938" t="inlineStr">
        <is>
          <t>KRONOBERGS LÄN</t>
        </is>
      </c>
      <c r="G938" t="inlineStr">
        <is>
          <t>TINGSRYD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1660-2026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46181</v>
      </c>
      <c r="E939" s="1" t="n">
        <v>46218</v>
      </c>
      <c r="F939" t="inlineStr">
        <is>
          <t>KRONOBERGS LÄN</t>
        </is>
      </c>
      <c r="G939" t="inlineStr">
        <is>
          <t>TINGSRYD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>
      <c r="A940" t="inlineStr">
        <is>
          <t>S 1732-2026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46188</v>
      </c>
      <c r="E940" s="1" t="n">
        <v>46218</v>
      </c>
      <c r="F940" t="inlineStr">
        <is>
          <t>KRONOBERGS LÄN</t>
        </is>
      </c>
      <c r="G940" t="inlineStr">
        <is>
          <t>TINGSRYD</t>
        </is>
      </c>
      <c r="I940" t="n">
        <v>4.2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2026-07-15T01:23:55Z</dcterms:created>
  <dcterms:modified xmlns:dcterms="http://purl.org/dc/terms/" xmlns:xsi="http://www.w3.org/2001/XMLSchema-instance" xsi:type="dcterms:W3CDTF">2026-07-15T01:23:56Z</dcterms:modified>
</cp:coreProperties>
</file>