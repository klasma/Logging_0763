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46293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46293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46293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46293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46293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28168-2023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46293</v>
      </c>
      <c r="F20" t="inlineStr">
        <is>
          <t>KRONOBERGS LÄN</t>
        </is>
      </c>
      <c r="G20" t="inlineStr">
        <is>
          <t>TINGSRYD</t>
        </is>
      </c>
      <c r="I20" t="n">
        <v>1.1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Mörk dunört
Åkerkål</t>
        </is>
      </c>
      <c r="W20">
        <f>HYPERLINK("https://klasma.github.io/Logging_0763/artfynd/A 28168-2023 artfynd.xlsx", "A 28168-2023")</f>
        <v/>
      </c>
      <c r="X20">
        <f>HYPERLINK("https://klasma.github.io/Logging_0763/kartor/A 28168-2023 karta.png", "A 28168-2023")</f>
        <v/>
      </c>
      <c r="Y20">
        <f>HYPERLINK("https://klasma.github.io/Logging_0763/kartor_geotiff/A 28168-2023 georefererad karta.tif", "A 28168-2023")</f>
        <v/>
      </c>
      <c r="AA20">
        <f>HYPERLINK("https://klasma.github.io/Logging_0763/klagomål/A 28168-2023 FSC-klagomål.docx", "A 28168-2023")</f>
        <v/>
      </c>
      <c r="AB20">
        <f>HYPERLINK("https://klasma.github.io/Logging_0763/klagomålsmail/A 28168-2023 FSC-klagomål mail.docx", "A 28168-2023")</f>
        <v/>
      </c>
      <c r="AC20">
        <f>HYPERLINK("https://klasma.github.io/Logging_0763/tillsyn/A 28168-2023 tillsynsbegäran.docx", "A 28168-2023")</f>
        <v/>
      </c>
      <c r="AD20">
        <f>HYPERLINK("https://klasma.github.io/Logging_0763/tillsynsmail/A 28168-2023 tillsynsbegäran mail.docx", "A 28168-2023")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46293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46293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46293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46293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46293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46293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46293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46293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46293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46293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46293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46293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46293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46293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46293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46293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46293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46293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46293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46293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46293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Kavelhirs</t>
        </is>
      </c>
      <c r="W43">
        <f>HYPERLINK("https://klasma.github.io/Logging_0763/artfynd/S 1050-2024 artfynd.xlsx", "S 1050-2024")</f>
        <v/>
      </c>
      <c r="X43">
        <f>HYPERLINK("https://klasma.github.io/Logging_0763/kartor/S 1050-2024 karta.png", "S 1050-2024")</f>
        <v/>
      </c>
      <c r="Y43">
        <f>HYPERLINK("https://klasma.github.io/Logging_0763/kartor_geotiff/S 1050-2024 georefererad karta.tif", "S 1050-2024")</f>
        <v/>
      </c>
      <c r="AA43">
        <f>HYPERLINK("https://klasma.github.io/Logging_0763/klagomål/S 1050-2024 FSC-klagomål.docx", "S 1050-2024")</f>
        <v/>
      </c>
      <c r="AB43">
        <f>HYPERLINK("https://klasma.github.io/Logging_0763/klagomålsmail/S 1050-2024 FSC-klagomål mail.docx", "S 1050-2024")</f>
        <v/>
      </c>
      <c r="AC43">
        <f>HYPERLINK("https://klasma.github.io/Logging_0763/tillsyn/S 1050-2024 tillsynsbegäran.docx", "S 1050-2024")</f>
        <v/>
      </c>
      <c r="AD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46293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HYPERLINK("https://klasma.github.io/Logging_0763/artfynd/S 358-2024 artfynd.xlsx", "S 358-2024")</f>
        <v/>
      </c>
      <c r="X44">
        <f>HYPERLINK("https://klasma.github.io/Logging_0763/kartor/S 358-2024 karta.png", "S 358-2024")</f>
        <v/>
      </c>
      <c r="Y44">
        <f>HYPERLINK("https://klasma.github.io/Logging_0763/kartor_geotiff/S 358-2024 georefererad karta.tif", "S 358-2024")</f>
        <v/>
      </c>
      <c r="AA44">
        <f>HYPERLINK("https://klasma.github.io/Logging_0763/klagomål/S 358-2024 FSC-klagomål.docx", "S 358-2024")</f>
        <v/>
      </c>
      <c r="AB44">
        <f>HYPERLINK("https://klasma.github.io/Logging_0763/klagomålsmail/S 358-2024 FSC-klagomål mail.docx", "S 358-2024")</f>
        <v/>
      </c>
      <c r="AC44">
        <f>HYPERLINK("https://klasma.github.io/Logging_0763/tillsyn/S 358-2024 tillsynsbegäran.docx", "S 358-2024")</f>
        <v/>
      </c>
      <c r="AD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46293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Mattlummer</t>
        </is>
      </c>
      <c r="W45">
        <f>HYPERLINK("https://klasma.github.io/Logging_0763/artfynd/S 2358-2024 artfynd.xlsx", "S 2358-2024")</f>
        <v/>
      </c>
      <c r="X45">
        <f>HYPERLINK("https://klasma.github.io/Logging_0763/kartor/S 2358-2024 karta.png", "S 2358-2024")</f>
        <v/>
      </c>
      <c r="Y45">
        <f>HYPERLINK("https://klasma.github.io/Logging_0763/kartor_geotiff/S 2358-2024 georefererad karta.tif", "S 2358-2024")</f>
        <v/>
      </c>
      <c r="AA45">
        <f>HYPERLINK("https://klasma.github.io/Logging_0763/klagomål/S 2358-2024 FSC-klagomål.docx", "S 2358-2024")</f>
        <v/>
      </c>
      <c r="AB45">
        <f>HYPERLINK("https://klasma.github.io/Logging_0763/klagomålsmail/S 2358-2024 FSC-klagomål mail.docx", "S 2358-2024")</f>
        <v/>
      </c>
      <c r="AC45">
        <f>HYPERLINK("https://klasma.github.io/Logging_0763/tillsyn/S 2358-2024 tillsynsbegäran.docx", "S 2358-2024")</f>
        <v/>
      </c>
      <c r="AD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46293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Huggorm</t>
        </is>
      </c>
      <c r="W46">
        <f>HYPERLINK("https://klasma.github.io/Logging_0763/artfynd/S 2682-2023 artfynd.xlsx", "S 2682-2023")</f>
        <v/>
      </c>
      <c r="X46">
        <f>HYPERLINK("https://klasma.github.io/Logging_0763/kartor/S 2682-2023 karta.png", "S 2682-2023")</f>
        <v/>
      </c>
      <c r="Y46">
        <f>HYPERLINK("https://klasma.github.io/Logging_0763/kartor_geotiff/S 2682-2023 georefererad karta.tif", "S 2682-2023")</f>
        <v/>
      </c>
      <c r="AA46">
        <f>HYPERLINK("https://klasma.github.io/Logging_0763/klagomål/S 2682-2023 FSC-klagomål.docx", "S 2682-2023")</f>
        <v/>
      </c>
      <c r="AB46">
        <f>HYPERLINK("https://klasma.github.io/Logging_0763/klagomålsmail/S 2682-2023 FSC-klagomål mail.docx", "S 2682-2023")</f>
        <v/>
      </c>
      <c r="AC46">
        <f>HYPERLINK("https://klasma.github.io/Logging_0763/tillsyn/S 2682-2023 tillsynsbegäran.docx", "S 2682-2023")</f>
        <v/>
      </c>
      <c r="AD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46293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Glimmerört</t>
        </is>
      </c>
      <c r="W47">
        <f>HYPERLINK("https://klasma.github.io/Logging_0763/artfynd/S 3747-2024 artfynd.xlsx", "S 3747-2024")</f>
        <v/>
      </c>
      <c r="X47">
        <f>HYPERLINK("https://klasma.github.io/Logging_0763/kartor/S 3747-2024 karta.png", "S 3747-2024")</f>
        <v/>
      </c>
      <c r="Y47">
        <f>HYPERLINK("https://klasma.github.io/Logging_0763/kartor_geotiff/S 3747-2024 georefererad karta.tif", "S 3747-2024")</f>
        <v/>
      </c>
      <c r="AA47">
        <f>HYPERLINK("https://klasma.github.io/Logging_0763/klagomål/S 3747-2024 FSC-klagomål.docx", "S 3747-2024")</f>
        <v/>
      </c>
      <c r="AB47">
        <f>HYPERLINK("https://klasma.github.io/Logging_0763/klagomålsmail/S 3747-2024 FSC-klagomål mail.docx", "S 3747-2024")</f>
        <v/>
      </c>
      <c r="AC47">
        <f>HYPERLINK("https://klasma.github.io/Logging_0763/tillsyn/S 3747-2024 tillsynsbegäran.docx", "S 3747-2024")</f>
        <v/>
      </c>
      <c r="AD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46293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Backruta</t>
        </is>
      </c>
      <c r="W48">
        <f>HYPERLINK("https://klasma.github.io/Logging_0763/artfynd/S 2372-2025 artfynd.xlsx", "S 2372-2025")</f>
        <v/>
      </c>
      <c r="X48">
        <f>HYPERLINK("https://klasma.github.io/Logging_0763/kartor/S 2372-2025 karta.png", "S 2372-2025")</f>
        <v/>
      </c>
      <c r="Y48">
        <f>HYPERLINK("https://klasma.github.io/Logging_0763/kartor_geotiff/S 2372-2025 georefererad karta.tif", "S 2372-2025")</f>
        <v/>
      </c>
      <c r="AA48">
        <f>HYPERLINK("https://klasma.github.io/Logging_0763/klagomål/S 2372-2025 FSC-klagomål.docx", "S 2372-2025")</f>
        <v/>
      </c>
      <c r="AB48">
        <f>HYPERLINK("https://klasma.github.io/Logging_0763/klagomålsmail/S 2372-2025 FSC-klagomål mail.docx", "S 2372-2025")</f>
        <v/>
      </c>
      <c r="AC48">
        <f>HYPERLINK("https://klasma.github.io/Logging_0763/tillsyn/S 2372-2025 tillsynsbegäran.docx", "S 2372-2025")</f>
        <v/>
      </c>
      <c r="AD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46293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HYPERLINK("https://klasma.github.io/Logging_0763/artfynd/S 270-2026 artfynd.xlsx", "S 270-2026")</f>
        <v/>
      </c>
      <c r="X49">
        <f>HYPERLINK("https://klasma.github.io/Logging_0763/kartor/S 270-2026 karta.png", "S 270-2026")</f>
        <v/>
      </c>
      <c r="Y49">
        <f>HYPERLINK("https://klasma.github.io/Logging_0763/kartor_geotiff/S 270-2026 georefererad karta.tif", "S 270-2026")</f>
        <v/>
      </c>
      <c r="AA49">
        <f>HYPERLINK("https://klasma.github.io/Logging_0763/klagomål/S 270-2026 FSC-klagomål.docx", "S 270-2026")</f>
        <v/>
      </c>
      <c r="AB49">
        <f>HYPERLINK("https://klasma.github.io/Logging_0763/klagomålsmail/S 270-2026 FSC-klagomål mail.docx", "S 270-2026")</f>
        <v/>
      </c>
      <c r="AC49">
        <f>HYPERLINK("https://klasma.github.io/Logging_0763/tillsyn/S 270-2026 tillsynsbegäran.docx", "S 270-2026")</f>
        <v/>
      </c>
      <c r="AD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46293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46293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46293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46293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46293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46293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46293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46293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46293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46293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46293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46293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46293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46293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46293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46293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46293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46293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46293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46293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46293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44570</v>
      </c>
      <c r="E71" s="1" t="n">
        <v>46293</v>
      </c>
      <c r="F71" t="inlineStr">
        <is>
          <t>KRONOBERGS LÄN</t>
        </is>
      </c>
      <c r="G71" t="inlineStr">
        <is>
          <t>TINGSRYD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46293</v>
      </c>
      <c r="F72" t="inlineStr">
        <is>
          <t>KRONOBERGS LÄN</t>
        </is>
      </c>
      <c r="G72" t="inlineStr">
        <is>
          <t>TINGSRYD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46293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46293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46293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46293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46293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46293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46293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46293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46293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46293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46293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46293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46293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46293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46293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46293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46293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46293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46293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46293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46293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46293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46293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46293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46293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46293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46293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46293</v>
      </c>
      <c r="F100" t="inlineStr">
        <is>
          <t>KRONOBERGS LÄN</t>
        </is>
      </c>
      <c r="G100" t="inlineStr">
        <is>
          <t>TINGSRYD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46293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46293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46293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46293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46293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46293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46293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46293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46293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46293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46293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46293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46293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46293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46293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46293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46293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46293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46293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69951-2021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46293</v>
      </c>
      <c r="F120" t="inlineStr">
        <is>
          <t>KRONOBERGS LÄN</t>
        </is>
      </c>
      <c r="G120" t="inlineStr">
        <is>
          <t>TINGSRYD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46293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46293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46293</v>
      </c>
      <c r="F123" t="inlineStr">
        <is>
          <t>KRONOBERGS LÄN</t>
        </is>
      </c>
      <c r="G123" t="inlineStr">
        <is>
          <t>TINGSRYD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46293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46293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46293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46293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46293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44676</v>
      </c>
      <c r="E129" s="1" t="n">
        <v>46293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46293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46293</v>
      </c>
      <c r="F131" t="inlineStr">
        <is>
          <t>KRONOBERGS LÄN</t>
        </is>
      </c>
      <c r="G131" t="inlineStr">
        <is>
          <t>TINGSRYD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46293</v>
      </c>
      <c r="F132" t="inlineStr">
        <is>
          <t>KRONOBERGS LÄN</t>
        </is>
      </c>
      <c r="G132" t="inlineStr">
        <is>
          <t>TINGSRYD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46293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46293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46293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46293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46293</v>
      </c>
      <c r="F137" t="inlineStr">
        <is>
          <t>KRONOBERGS LÄN</t>
        </is>
      </c>
      <c r="G137" t="inlineStr">
        <is>
          <t>TINGSRYD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71110-2021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44539</v>
      </c>
      <c r="E138" s="1" t="n">
        <v>46293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46293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46293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46293</v>
      </c>
      <c r="F141" t="inlineStr">
        <is>
          <t>KRONOBERGS LÄN</t>
        </is>
      </c>
      <c r="G141" t="inlineStr">
        <is>
          <t>TINGSRYD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46293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46293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46293</v>
      </c>
      <c r="F144" t="inlineStr">
        <is>
          <t>KRONOBERGS LÄN</t>
        </is>
      </c>
      <c r="G144" t="inlineStr">
        <is>
          <t>TINGSRYD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46293</v>
      </c>
      <c r="F145" t="inlineStr">
        <is>
          <t>KRONOBERGS LÄN</t>
        </is>
      </c>
      <c r="G145" t="inlineStr">
        <is>
          <t>TINGSRYD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46293</v>
      </c>
      <c r="F146" t="inlineStr">
        <is>
          <t>KRONOBERGS LÄN</t>
        </is>
      </c>
      <c r="G146" t="inlineStr">
        <is>
          <t>TINGSRYD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44769</v>
      </c>
      <c r="E147" s="1" t="n">
        <v>46293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59093-2021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46293</v>
      </c>
      <c r="F148" t="inlineStr">
        <is>
          <t>KRONOBERGS LÄN</t>
        </is>
      </c>
      <c r="G148" t="inlineStr">
        <is>
          <t>TINGSRYD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46293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46293</v>
      </c>
      <c r="F150" t="inlineStr">
        <is>
          <t>KRONOBERGS LÄN</t>
        </is>
      </c>
      <c r="G150" t="inlineStr">
        <is>
          <t>TINGSRYD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46293</v>
      </c>
      <c r="F151" t="inlineStr">
        <is>
          <t>KRONOBERGS LÄN</t>
        </is>
      </c>
      <c r="G151" t="inlineStr">
        <is>
          <t>TINGSRYD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45395</v>
      </c>
      <c r="E152" s="1" t="n">
        <v>46293</v>
      </c>
      <c r="F152" t="inlineStr">
        <is>
          <t>KRONOBERGS LÄN</t>
        </is>
      </c>
      <c r="G152" t="inlineStr">
        <is>
          <t>TINGSRYD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16954-2024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45411</v>
      </c>
      <c r="E153" s="1" t="n">
        <v>46293</v>
      </c>
      <c r="F153" t="inlineStr">
        <is>
          <t>KRONOBERGS LÄN</t>
        </is>
      </c>
      <c r="G153" t="inlineStr">
        <is>
          <t>TINGSRYD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46293</v>
      </c>
      <c r="F154" t="inlineStr">
        <is>
          <t>KRONOBERGS LÄN</t>
        </is>
      </c>
      <c r="G154" t="inlineStr">
        <is>
          <t>TINGSRYD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46293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26221-2023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45091</v>
      </c>
      <c r="E156" s="1" t="n">
        <v>46293</v>
      </c>
      <c r="F156" t="inlineStr">
        <is>
          <t>KRONOBERGS LÄN</t>
        </is>
      </c>
      <c r="G156" t="inlineStr">
        <is>
          <t>TINGSRYD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46293</v>
      </c>
      <c r="F157" t="inlineStr">
        <is>
          <t>KRONOBERGS LÄN</t>
        </is>
      </c>
      <c r="G157" t="inlineStr">
        <is>
          <t>TINGSRYD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44481</v>
      </c>
      <c r="E158" s="1" t="n">
        <v>46293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46293</v>
      </c>
      <c r="F159" t="inlineStr">
        <is>
          <t>KRONOBERGS LÄN</t>
        </is>
      </c>
      <c r="G159" t="inlineStr">
        <is>
          <t>TINGSRYD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45300</v>
      </c>
      <c r="E160" s="1" t="n">
        <v>46293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45449</v>
      </c>
      <c r="E161" s="1" t="n">
        <v>46293</v>
      </c>
      <c r="F161" t="inlineStr">
        <is>
          <t>KRONOBERGS LÄN</t>
        </is>
      </c>
      <c r="G161" t="inlineStr">
        <is>
          <t>TINGSRYD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45449</v>
      </c>
      <c r="E162" s="1" t="n">
        <v>46293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46293</v>
      </c>
      <c r="F163" t="inlineStr">
        <is>
          <t>KRONOBERGS LÄN</t>
        </is>
      </c>
      <c r="G163" t="inlineStr">
        <is>
          <t>TINGSRYD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46293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46293</v>
      </c>
      <c r="F165" t="inlineStr">
        <is>
          <t>KRONOBERGS LÄN</t>
        </is>
      </c>
      <c r="G165" t="inlineStr">
        <is>
          <t>TINGSRYD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46293</v>
      </c>
      <c r="F166" t="inlineStr">
        <is>
          <t>KRONOBERGS LÄN</t>
        </is>
      </c>
      <c r="G166" t="inlineStr">
        <is>
          <t>TINGSRYD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46293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46293</v>
      </c>
      <c r="F168" t="inlineStr">
        <is>
          <t>KRONOBERGS LÄN</t>
        </is>
      </c>
      <c r="G168" t="inlineStr">
        <is>
          <t>TINGSRYD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45467</v>
      </c>
      <c r="E169" s="1" t="n">
        <v>46293</v>
      </c>
      <c r="F169" t="inlineStr">
        <is>
          <t>KRONOBERGS LÄN</t>
        </is>
      </c>
      <c r="G169" t="inlineStr">
        <is>
          <t>TINGSRYD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46293</v>
      </c>
      <c r="F170" t="inlineStr">
        <is>
          <t>KRONOBERGS LÄN</t>
        </is>
      </c>
      <c r="G170" t="inlineStr">
        <is>
          <t>TINGSRYD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46293</v>
      </c>
      <c r="F171" t="inlineStr">
        <is>
          <t>KRONOBERGS LÄN</t>
        </is>
      </c>
      <c r="G171" t="inlineStr">
        <is>
          <t>TINGSRYD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46293</v>
      </c>
      <c r="F172" t="inlineStr">
        <is>
          <t>KRONOBERGS LÄN</t>
        </is>
      </c>
      <c r="G172" t="inlineStr">
        <is>
          <t>TINGSRYD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44928</v>
      </c>
      <c r="E173" s="1" t="n">
        <v>46293</v>
      </c>
      <c r="F173" t="inlineStr">
        <is>
          <t>KRONOBERGS LÄN</t>
        </is>
      </c>
      <c r="G173" t="inlineStr">
        <is>
          <t>TINGSRYD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46293</v>
      </c>
      <c r="F174" t="inlineStr">
        <is>
          <t>KRONOBERGS LÄN</t>
        </is>
      </c>
      <c r="G174" t="inlineStr">
        <is>
          <t>TINGSRYD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46293</v>
      </c>
      <c r="F175" t="inlineStr">
        <is>
          <t>KRONOBERGS LÄN</t>
        </is>
      </c>
      <c r="G175" t="inlineStr">
        <is>
          <t>TINGSRYD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46293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46293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46293</v>
      </c>
      <c r="F178" t="inlineStr">
        <is>
          <t>KRONOBERGS LÄN</t>
        </is>
      </c>
      <c r="G178" t="inlineStr">
        <is>
          <t>TINGSRYD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46293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46293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46293</v>
      </c>
      <c r="F181" t="inlineStr">
        <is>
          <t>KRONOBERGS LÄN</t>
        </is>
      </c>
      <c r="G181" t="inlineStr">
        <is>
          <t>TINGSRYD</t>
        </is>
      </c>
      <c r="H181" t="inlineStr">
        <is>
          <t>Kommuner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46293</v>
      </c>
      <c r="F182" t="inlineStr">
        <is>
          <t>KRONOBERGS LÄN</t>
        </is>
      </c>
      <c r="G182" t="inlineStr">
        <is>
          <t>TINGSRYD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44728</v>
      </c>
      <c r="E183" s="1" t="n">
        <v>46293</v>
      </c>
      <c r="F183" t="inlineStr">
        <is>
          <t>KRONOBERGS LÄN</t>
        </is>
      </c>
      <c r="G183" t="inlineStr">
        <is>
          <t>TINGSRYD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46293</v>
      </c>
      <c r="F184" t="inlineStr">
        <is>
          <t>KRONOBERGS LÄN</t>
        </is>
      </c>
      <c r="G184" t="inlineStr">
        <is>
          <t>TINGSRYD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46293</v>
      </c>
      <c r="F185" t="inlineStr">
        <is>
          <t>KRONOBERGS LÄN</t>
        </is>
      </c>
      <c r="G185" t="inlineStr">
        <is>
          <t>TINGSRYD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46293</v>
      </c>
      <c r="F186" t="inlineStr">
        <is>
          <t>KRONOBERGS LÄN</t>
        </is>
      </c>
      <c r="G186" t="inlineStr">
        <is>
          <t>TINGSRYD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46293</v>
      </c>
      <c r="F187" t="inlineStr">
        <is>
          <t>KRONOBERGS LÄN</t>
        </is>
      </c>
      <c r="G187" t="inlineStr">
        <is>
          <t>TINGSRYD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72446-2021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44545</v>
      </c>
      <c r="E188" s="1" t="n">
        <v>46293</v>
      </c>
      <c r="F188" t="inlineStr">
        <is>
          <t>KRONOBERGS LÄN</t>
        </is>
      </c>
      <c r="G188" t="inlineStr">
        <is>
          <t>TINGSRYD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46293</v>
      </c>
      <c r="F189" t="inlineStr">
        <is>
          <t>KRONOBERGS LÄN</t>
        </is>
      </c>
      <c r="G189" t="inlineStr">
        <is>
          <t>TINGSRYD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46293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46293</v>
      </c>
      <c r="F191" t="inlineStr">
        <is>
          <t>KRONOBERGS LÄN</t>
        </is>
      </c>
      <c r="G191" t="inlineStr">
        <is>
          <t>TINGSRYD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46293</v>
      </c>
      <c r="F192" t="inlineStr">
        <is>
          <t>KRONOBERGS LÄN</t>
        </is>
      </c>
      <c r="G192" t="inlineStr">
        <is>
          <t>TINGSRYD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46293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46293</v>
      </c>
      <c r="F194" t="inlineStr">
        <is>
          <t>KRONOBERGS LÄN</t>
        </is>
      </c>
      <c r="G194" t="inlineStr">
        <is>
          <t>TINGSRYD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46293</v>
      </c>
      <c r="F195" t="inlineStr">
        <is>
          <t>KRONOBERGS LÄN</t>
        </is>
      </c>
      <c r="G195" t="inlineStr">
        <is>
          <t>TINGSRYD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46293</v>
      </c>
      <c r="F196" t="inlineStr">
        <is>
          <t>KRONOBERGS LÄN</t>
        </is>
      </c>
      <c r="G196" t="inlineStr">
        <is>
          <t>TINGSRYD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46293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46293</v>
      </c>
      <c r="F198" t="inlineStr">
        <is>
          <t>KRONOBERGS LÄN</t>
        </is>
      </c>
      <c r="G198" t="inlineStr">
        <is>
          <t>TINGSRYD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46293</v>
      </c>
      <c r="F199" t="inlineStr">
        <is>
          <t>KRONOBERGS LÄN</t>
        </is>
      </c>
      <c r="G199" t="inlineStr">
        <is>
          <t>TINGSRYD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46293</v>
      </c>
      <c r="F200" t="inlineStr">
        <is>
          <t>KRONOBERGS LÄN</t>
        </is>
      </c>
      <c r="G200" t="inlineStr">
        <is>
          <t>TINGSRYD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46293</v>
      </c>
      <c r="F201" t="inlineStr">
        <is>
          <t>KRONOBERGS LÄN</t>
        </is>
      </c>
      <c r="G201" t="inlineStr">
        <is>
          <t>TINGSRYD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46293</v>
      </c>
      <c r="F202" t="inlineStr">
        <is>
          <t>KRONOBERGS LÄN</t>
        </is>
      </c>
      <c r="G202" t="inlineStr">
        <is>
          <t>TINGSRYD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46293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46293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46293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46293</v>
      </c>
      <c r="F206" t="inlineStr">
        <is>
          <t>KRONOBERGS LÄN</t>
        </is>
      </c>
      <c r="G206" t="inlineStr">
        <is>
          <t>TINGSRYD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46293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45394</v>
      </c>
      <c r="E208" s="1" t="n">
        <v>46293</v>
      </c>
      <c r="F208" t="inlineStr">
        <is>
          <t>KRONOBERGS LÄN</t>
        </is>
      </c>
      <c r="G208" t="inlineStr">
        <is>
          <t>TINGSRYD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46293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46293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46293</v>
      </c>
      <c r="F211" t="inlineStr">
        <is>
          <t>KRONOBERGS LÄN</t>
        </is>
      </c>
      <c r="G211" t="inlineStr">
        <is>
          <t>TINGSRYD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46293</v>
      </c>
      <c r="F212" t="inlineStr">
        <is>
          <t>KRONOBERGS LÄN</t>
        </is>
      </c>
      <c r="G212" t="inlineStr">
        <is>
          <t>TINGSRYD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46293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46293</v>
      </c>
      <c r="F214" t="inlineStr">
        <is>
          <t>KRONOBERGS LÄN</t>
        </is>
      </c>
      <c r="G214" t="inlineStr">
        <is>
          <t>TINGSRYD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46293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46293</v>
      </c>
      <c r="F216" t="inlineStr">
        <is>
          <t>KRONOBERGS LÄN</t>
        </is>
      </c>
      <c r="G216" t="inlineStr">
        <is>
          <t>TINGSRYD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46293</v>
      </c>
      <c r="F217" t="inlineStr">
        <is>
          <t>KRONOBERGS LÄN</t>
        </is>
      </c>
      <c r="G217" t="inlineStr">
        <is>
          <t>TINGSRYD</t>
        </is>
      </c>
      <c r="H217" t="inlineStr">
        <is>
          <t>Övriga Aktiebolag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46293</v>
      </c>
      <c r="F218" t="inlineStr">
        <is>
          <t>KRONOBERGS LÄN</t>
        </is>
      </c>
      <c r="G218" t="inlineStr">
        <is>
          <t>TINGSRYD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46293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46293</v>
      </c>
      <c r="F220" t="inlineStr">
        <is>
          <t>KRONOBERGS LÄN</t>
        </is>
      </c>
      <c r="G220" t="inlineStr">
        <is>
          <t>TINGSRYD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46293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46293</v>
      </c>
      <c r="F222" t="inlineStr">
        <is>
          <t>KRONOBERGS LÄN</t>
        </is>
      </c>
      <c r="G222" t="inlineStr">
        <is>
          <t>TINGSRYD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46293</v>
      </c>
      <c r="F223" t="inlineStr">
        <is>
          <t>KRONOBERGS LÄN</t>
        </is>
      </c>
      <c r="G223" t="inlineStr">
        <is>
          <t>TINGSRYD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46293</v>
      </c>
      <c r="F224" t="inlineStr">
        <is>
          <t>KRONOBERGS LÄN</t>
        </is>
      </c>
      <c r="G224" t="inlineStr">
        <is>
          <t>TINGSRYD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46293</v>
      </c>
      <c r="F225" t="inlineStr">
        <is>
          <t>KRONOBERGS LÄN</t>
        </is>
      </c>
      <c r="G225" t="inlineStr">
        <is>
          <t>TINGSRYD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46293</v>
      </c>
      <c r="F226" t="inlineStr">
        <is>
          <t>KRONOBERGS LÄN</t>
        </is>
      </c>
      <c r="G226" t="inlineStr">
        <is>
          <t>TINGSRYD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46293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46293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44599</v>
      </c>
      <c r="E229" s="1" t="n">
        <v>46293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46293</v>
      </c>
      <c r="F230" t="inlineStr">
        <is>
          <t>KRONOBERGS LÄN</t>
        </is>
      </c>
      <c r="G230" t="inlineStr">
        <is>
          <t>TINGSRYD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46293</v>
      </c>
      <c r="F231" t="inlineStr">
        <is>
          <t>KRONOBERGS LÄN</t>
        </is>
      </c>
      <c r="G231" t="inlineStr">
        <is>
          <t>TINGSRYD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46293</v>
      </c>
      <c r="F232" t="inlineStr">
        <is>
          <t>KRONOBERGS LÄN</t>
        </is>
      </c>
      <c r="G232" t="inlineStr">
        <is>
          <t>TINGSRYD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46293</v>
      </c>
      <c r="F233" t="inlineStr">
        <is>
          <t>KRONOBERGS LÄN</t>
        </is>
      </c>
      <c r="G233" t="inlineStr">
        <is>
          <t>TINGSRYD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46293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46293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46293</v>
      </c>
      <c r="F236" t="inlineStr">
        <is>
          <t>KRONOBERGS LÄN</t>
        </is>
      </c>
      <c r="G236" t="inlineStr">
        <is>
          <t>TINGSRYD</t>
        </is>
      </c>
      <c r="H236" t="inlineStr">
        <is>
          <t>Övriga Aktiebolag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46293</v>
      </c>
      <c r="F237" t="inlineStr">
        <is>
          <t>KRONOBERGS LÄN</t>
        </is>
      </c>
      <c r="G237" t="inlineStr">
        <is>
          <t>TINGSRYD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46293</v>
      </c>
      <c r="F238" t="inlineStr">
        <is>
          <t>KRONOBERGS LÄN</t>
        </is>
      </c>
      <c r="G238" t="inlineStr">
        <is>
          <t>TINGSRYD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46293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46293</v>
      </c>
      <c r="F240" t="inlineStr">
        <is>
          <t>KRONOBERGS LÄN</t>
        </is>
      </c>
      <c r="G240" t="inlineStr">
        <is>
          <t>TINGSRYD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46293</v>
      </c>
      <c r="F241" t="inlineStr">
        <is>
          <t>KRONOBERGS LÄN</t>
        </is>
      </c>
      <c r="G241" t="inlineStr">
        <is>
          <t>TINGSRYD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46293</v>
      </c>
      <c r="F242" t="inlineStr">
        <is>
          <t>KRONOBERGS LÄN</t>
        </is>
      </c>
      <c r="G242" t="inlineStr">
        <is>
          <t>TINGSRYD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46293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46293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46293</v>
      </c>
      <c r="F245" t="inlineStr">
        <is>
          <t>KRONOBERGS LÄN</t>
        </is>
      </c>
      <c r="G245" t="inlineStr">
        <is>
          <t>TINGSRYD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46293</v>
      </c>
      <c r="F246" t="inlineStr">
        <is>
          <t>KRONOBERGS LÄN</t>
        </is>
      </c>
      <c r="G246" t="inlineStr">
        <is>
          <t>TINGSRYD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46293</v>
      </c>
      <c r="F247" t="inlineStr">
        <is>
          <t>KRONOBERGS LÄN</t>
        </is>
      </c>
      <c r="G247" t="inlineStr">
        <is>
          <t>TINGSRYD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46293</v>
      </c>
      <c r="F248" t="inlineStr">
        <is>
          <t>KRONOBERGS LÄN</t>
        </is>
      </c>
      <c r="G248" t="inlineStr">
        <is>
          <t>TINGSRYD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46293</v>
      </c>
      <c r="F249" t="inlineStr">
        <is>
          <t>KRONOBERGS LÄN</t>
        </is>
      </c>
      <c r="G249" t="inlineStr">
        <is>
          <t>TINGSRYD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46293</v>
      </c>
      <c r="F250" t="inlineStr">
        <is>
          <t>KRONOBERGS LÄN</t>
        </is>
      </c>
      <c r="G250" t="inlineStr">
        <is>
          <t>TINGSRYD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46293</v>
      </c>
      <c r="F251" t="inlineStr">
        <is>
          <t>KRONOBERGS LÄN</t>
        </is>
      </c>
      <c r="G251" t="inlineStr">
        <is>
          <t>TINGSRYD</t>
        </is>
      </c>
      <c r="H251" t="inlineStr">
        <is>
          <t>Kommuner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46293</v>
      </c>
      <c r="F252" t="inlineStr">
        <is>
          <t>KRONOBERGS LÄN</t>
        </is>
      </c>
      <c r="G252" t="inlineStr">
        <is>
          <t>TINGSRYD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46293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46293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46293</v>
      </c>
      <c r="F255" t="inlineStr">
        <is>
          <t>KRONOBERGS LÄN</t>
        </is>
      </c>
      <c r="G255" t="inlineStr">
        <is>
          <t>TINGSRYD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46293</v>
      </c>
      <c r="F256" t="inlineStr">
        <is>
          <t>KRONOBERGS LÄN</t>
        </is>
      </c>
      <c r="G256" t="inlineStr">
        <is>
          <t>TINGSRYD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45548</v>
      </c>
      <c r="E257" s="1" t="n">
        <v>46293</v>
      </c>
      <c r="F257" t="inlineStr">
        <is>
          <t>KRONOBERGS LÄN</t>
        </is>
      </c>
      <c r="G257" t="inlineStr">
        <is>
          <t>TINGSRYD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46293</v>
      </c>
      <c r="F258" t="inlineStr">
        <is>
          <t>KRONOBERGS LÄN</t>
        </is>
      </c>
      <c r="G258" t="inlineStr">
        <is>
          <t>TINGSRYD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46293</v>
      </c>
      <c r="F259" t="inlineStr">
        <is>
          <t>KRONOBERGS LÄN</t>
        </is>
      </c>
      <c r="G259" t="inlineStr">
        <is>
          <t>TINGSRYD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46293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46293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45568</v>
      </c>
      <c r="E262" s="1" t="n">
        <v>46293</v>
      </c>
      <c r="F262" t="inlineStr">
        <is>
          <t>KRONOBERGS LÄN</t>
        </is>
      </c>
      <c r="G262" t="inlineStr">
        <is>
          <t>TINGSRYD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46293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46293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46293</v>
      </c>
      <c r="F265" t="inlineStr">
        <is>
          <t>KRONOBERGS LÄN</t>
        </is>
      </c>
      <c r="G265" t="inlineStr">
        <is>
          <t>TINGSRYD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46293</v>
      </c>
      <c r="F266" t="inlineStr">
        <is>
          <t>KRONOBERGS LÄN</t>
        </is>
      </c>
      <c r="G266" t="inlineStr">
        <is>
          <t>TINGSRYD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11451-2026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46083</v>
      </c>
      <c r="E267" s="1" t="n">
        <v>46293</v>
      </c>
      <c r="F267" t="inlineStr">
        <is>
          <t>KRONOBERGS LÄN</t>
        </is>
      </c>
      <c r="G267" t="inlineStr">
        <is>
          <t>TINGSRYD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46293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46293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46293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46293</v>
      </c>
      <c r="F271" t="inlineStr">
        <is>
          <t>KRONOBERGS LÄN</t>
        </is>
      </c>
      <c r="G271" t="inlineStr">
        <is>
          <t>TINGSRYD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46293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46293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46293</v>
      </c>
      <c r="F274" t="inlineStr">
        <is>
          <t>KRONOBERGS LÄN</t>
        </is>
      </c>
      <c r="G274" t="inlineStr">
        <is>
          <t>TINGSRYD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46293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46293</v>
      </c>
      <c r="F276" t="inlineStr">
        <is>
          <t>KRONOBERGS LÄN</t>
        </is>
      </c>
      <c r="G276" t="inlineStr">
        <is>
          <t>TINGSRYD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46293</v>
      </c>
      <c r="F277" t="inlineStr">
        <is>
          <t>KRONOBERGS LÄN</t>
        </is>
      </c>
      <c r="G277" t="inlineStr">
        <is>
          <t>TINGSRYD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46293</v>
      </c>
      <c r="F278" t="inlineStr">
        <is>
          <t>KRONOBERGS LÄN</t>
        </is>
      </c>
      <c r="G278" t="inlineStr">
        <is>
          <t>TINGSRYD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46293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45344</v>
      </c>
      <c r="E280" s="1" t="n">
        <v>46293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54229-2021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44470</v>
      </c>
      <c r="E281" s="1" t="n">
        <v>46293</v>
      </c>
      <c r="F281" t="inlineStr">
        <is>
          <t>KRONOBERGS LÄN</t>
        </is>
      </c>
      <c r="G281" t="inlineStr">
        <is>
          <t>TINGSRYD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46293</v>
      </c>
      <c r="F282" t="inlineStr">
        <is>
          <t>KRONOBERGS LÄN</t>
        </is>
      </c>
      <c r="G282" t="inlineStr">
        <is>
          <t>TINGSRYD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46293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46293</v>
      </c>
      <c r="F284" t="inlineStr">
        <is>
          <t>KRONOBERGS LÄN</t>
        </is>
      </c>
      <c r="G284" t="inlineStr">
        <is>
          <t>TINGSRYD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44963</v>
      </c>
      <c r="E285" s="1" t="n">
        <v>46293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46293</v>
      </c>
      <c r="F286" t="inlineStr">
        <is>
          <t>KRONOBERGS LÄN</t>
        </is>
      </c>
      <c r="G286" t="inlineStr">
        <is>
          <t>TINGSRYD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46293</v>
      </c>
      <c r="F287" t="inlineStr">
        <is>
          <t>KRONOBERGS LÄN</t>
        </is>
      </c>
      <c r="G287" t="inlineStr">
        <is>
          <t>TINGSRYD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46293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46293</v>
      </c>
      <c r="F289" t="inlineStr">
        <is>
          <t>KRONOBERGS LÄN</t>
        </is>
      </c>
      <c r="G289" t="inlineStr">
        <is>
          <t>TINGSRYD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46293</v>
      </c>
      <c r="F290" t="inlineStr">
        <is>
          <t>KRONOBERGS LÄN</t>
        </is>
      </c>
      <c r="G290" t="inlineStr">
        <is>
          <t>TINGSRYD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46293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46293</v>
      </c>
      <c r="F292" t="inlineStr">
        <is>
          <t>KRONOBERGS LÄN</t>
        </is>
      </c>
      <c r="G292" t="inlineStr">
        <is>
          <t>TINGSRYD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46293</v>
      </c>
      <c r="F293" t="inlineStr">
        <is>
          <t>KRONOBERGS LÄN</t>
        </is>
      </c>
      <c r="G293" t="inlineStr">
        <is>
          <t>TINGSRYD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46293</v>
      </c>
      <c r="F294" t="inlineStr">
        <is>
          <t>KRONOBERGS LÄN</t>
        </is>
      </c>
      <c r="G294" t="inlineStr">
        <is>
          <t>TINGSRYD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46293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46293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46293</v>
      </c>
      <c r="F297" t="inlineStr">
        <is>
          <t>KRONOBERGS LÄN</t>
        </is>
      </c>
      <c r="G297" t="inlineStr">
        <is>
          <t>TINGSRYD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45950</v>
      </c>
      <c r="E298" s="1" t="n">
        <v>46293</v>
      </c>
      <c r="F298" t="inlineStr">
        <is>
          <t>KRONOBERGS LÄN</t>
        </is>
      </c>
      <c r="G298" t="inlineStr">
        <is>
          <t>TINGSRYD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46293</v>
      </c>
      <c r="F299" t="inlineStr">
        <is>
          <t>KRONOBERGS LÄN</t>
        </is>
      </c>
      <c r="G299" t="inlineStr">
        <is>
          <t>TINGSRYD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46293</v>
      </c>
      <c r="F300" t="inlineStr">
        <is>
          <t>KRONOBERGS LÄN</t>
        </is>
      </c>
      <c r="G300" t="inlineStr">
        <is>
          <t>TINGSRYD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46293</v>
      </c>
      <c r="F301" t="inlineStr">
        <is>
          <t>KRONOBERGS LÄN</t>
        </is>
      </c>
      <c r="G301" t="inlineStr">
        <is>
          <t>TINGSRYD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46293</v>
      </c>
      <c r="F302" t="inlineStr">
        <is>
          <t>KRONOBERGS LÄN</t>
        </is>
      </c>
      <c r="G302" t="inlineStr">
        <is>
          <t>TINGSRYD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46293</v>
      </c>
      <c r="F303" t="inlineStr">
        <is>
          <t>KRONOBERGS LÄN</t>
        </is>
      </c>
      <c r="G303" t="inlineStr">
        <is>
          <t>TINGSRYD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46293</v>
      </c>
      <c r="F304" t="inlineStr">
        <is>
          <t>KRONOBERGS LÄN</t>
        </is>
      </c>
      <c r="G304" t="inlineStr">
        <is>
          <t>TINGSRYD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46293</v>
      </c>
      <c r="F305" t="inlineStr">
        <is>
          <t>KRONOBERGS LÄN</t>
        </is>
      </c>
      <c r="G305" t="inlineStr">
        <is>
          <t>TINGSRYD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46293</v>
      </c>
      <c r="F306" t="inlineStr">
        <is>
          <t>KRONOBERGS LÄN</t>
        </is>
      </c>
      <c r="G306" t="inlineStr">
        <is>
          <t>TINGSRYD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46293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46293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46293</v>
      </c>
      <c r="F309" t="inlineStr">
        <is>
          <t>KRONOBERGS LÄN</t>
        </is>
      </c>
      <c r="G309" t="inlineStr">
        <is>
          <t>TINGSRYD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46293</v>
      </c>
      <c r="F310" t="inlineStr">
        <is>
          <t>KRONOBERGS LÄN</t>
        </is>
      </c>
      <c r="G310" t="inlineStr">
        <is>
          <t>TINGSRYD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46293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46293</v>
      </c>
      <c r="F312" t="inlineStr">
        <is>
          <t>KRONOBERGS LÄN</t>
        </is>
      </c>
      <c r="G312" t="inlineStr">
        <is>
          <t>TINGSRYD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46293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46293</v>
      </c>
      <c r="F314" t="inlineStr">
        <is>
          <t>KRONOBERGS LÄN</t>
        </is>
      </c>
      <c r="G314" t="inlineStr">
        <is>
          <t>TINGSRYD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46293</v>
      </c>
      <c r="F315" t="inlineStr">
        <is>
          <t>KRONOBERGS LÄN</t>
        </is>
      </c>
      <c r="G315" t="inlineStr">
        <is>
          <t>TINGSRYD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46293</v>
      </c>
      <c r="F316" t="inlineStr">
        <is>
          <t>KRONOBERGS LÄN</t>
        </is>
      </c>
      <c r="G316" t="inlineStr">
        <is>
          <t>TINGSRYD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46293</v>
      </c>
      <c r="F317" t="inlineStr">
        <is>
          <t>KRONOBERGS LÄN</t>
        </is>
      </c>
      <c r="G317" t="inlineStr">
        <is>
          <t>TINGSRYD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45323</v>
      </c>
      <c r="E318" s="1" t="n">
        <v>46293</v>
      </c>
      <c r="F318" t="inlineStr">
        <is>
          <t>KRONOBERGS LÄN</t>
        </is>
      </c>
      <c r="G318" t="inlineStr">
        <is>
          <t>TINGSRYD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45307</v>
      </c>
      <c r="E319" s="1" t="n">
        <v>46293</v>
      </c>
      <c r="F319" t="inlineStr">
        <is>
          <t>KRONOBERGS LÄN</t>
        </is>
      </c>
      <c r="G319" t="inlineStr">
        <is>
          <t>TINGSRYD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46293</v>
      </c>
      <c r="F320" t="inlineStr">
        <is>
          <t>KRONOBERGS LÄN</t>
        </is>
      </c>
      <c r="G320" t="inlineStr">
        <is>
          <t>TINGSRYD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46293</v>
      </c>
      <c r="F321" t="inlineStr">
        <is>
          <t>KRONOBERGS LÄN</t>
        </is>
      </c>
      <c r="G321" t="inlineStr">
        <is>
          <t>TINGSRYD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45007</v>
      </c>
      <c r="E322" s="1" t="n">
        <v>46293</v>
      </c>
      <c r="F322" t="inlineStr">
        <is>
          <t>KRONOBERGS LÄN</t>
        </is>
      </c>
      <c r="G322" t="inlineStr">
        <is>
          <t>TINGSRYD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46293</v>
      </c>
      <c r="F323" t="inlineStr">
        <is>
          <t>KRONOBERGS LÄN</t>
        </is>
      </c>
      <c r="G323" t="inlineStr">
        <is>
          <t>TINGSRYD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46293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46293</v>
      </c>
      <c r="F325" t="inlineStr">
        <is>
          <t>KRONOBERGS LÄN</t>
        </is>
      </c>
      <c r="G325" t="inlineStr">
        <is>
          <t>TINGSRYD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72450-2021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44545</v>
      </c>
      <c r="E326" s="1" t="n">
        <v>46293</v>
      </c>
      <c r="F326" t="inlineStr">
        <is>
          <t>KRONOBERGS LÄN</t>
        </is>
      </c>
      <c r="G326" t="inlineStr">
        <is>
          <t>TINGSRYD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46293</v>
      </c>
      <c r="F327" t="inlineStr">
        <is>
          <t>KRONOBERGS LÄN</t>
        </is>
      </c>
      <c r="G327" t="inlineStr">
        <is>
          <t>TINGSRYD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46120</v>
      </c>
      <c r="E328" s="1" t="n">
        <v>46293</v>
      </c>
      <c r="F328" t="inlineStr">
        <is>
          <t>KRONOBERGS LÄN</t>
        </is>
      </c>
      <c r="G328" t="inlineStr">
        <is>
          <t>TINGSRYD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46293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46293</v>
      </c>
      <c r="F330" t="inlineStr">
        <is>
          <t>KRONOBERGS LÄN</t>
        </is>
      </c>
      <c r="G330" t="inlineStr">
        <is>
          <t>TINGSRYD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46293</v>
      </c>
      <c r="F331" t="inlineStr">
        <is>
          <t>KRONOBERGS LÄN</t>
        </is>
      </c>
      <c r="G331" t="inlineStr">
        <is>
          <t>TINGSRYD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46293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46293</v>
      </c>
      <c r="F333" t="inlineStr">
        <is>
          <t>KRONOBERGS LÄN</t>
        </is>
      </c>
      <c r="G333" t="inlineStr">
        <is>
          <t>TINGSRYD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46293</v>
      </c>
      <c r="F334" t="inlineStr">
        <is>
          <t>KRONOBERGS LÄN</t>
        </is>
      </c>
      <c r="G334" t="inlineStr">
        <is>
          <t>TINGSRYD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15252-2026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46105</v>
      </c>
      <c r="E335" s="1" t="n">
        <v>46293</v>
      </c>
      <c r="F335" t="inlineStr">
        <is>
          <t>KRONOBERGS LÄN</t>
        </is>
      </c>
      <c r="G335" t="inlineStr">
        <is>
          <t>TINGSRYD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45674</v>
      </c>
      <c r="E336" s="1" t="n">
        <v>46293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46132</v>
      </c>
      <c r="E337" s="1" t="n">
        <v>46293</v>
      </c>
      <c r="F337" t="inlineStr">
        <is>
          <t>KRONOBERGS LÄN</t>
        </is>
      </c>
      <c r="G337" t="inlineStr">
        <is>
          <t>TINGSRYD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46293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46293</v>
      </c>
      <c r="F339" t="inlineStr">
        <is>
          <t>KRONOBERGS LÄN</t>
        </is>
      </c>
      <c r="G339" t="inlineStr">
        <is>
          <t>TINGSRYD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46293</v>
      </c>
      <c r="F340" t="inlineStr">
        <is>
          <t>KRONOBERGS LÄN</t>
        </is>
      </c>
      <c r="G340" t="inlineStr">
        <is>
          <t>TINGSRYD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46293</v>
      </c>
      <c r="F341" t="inlineStr">
        <is>
          <t>KRONOBERGS LÄN</t>
        </is>
      </c>
      <c r="G341" t="inlineStr">
        <is>
          <t>TINGSRYD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46293</v>
      </c>
      <c r="F342" t="inlineStr">
        <is>
          <t>KRONOBERGS LÄN</t>
        </is>
      </c>
      <c r="G342" t="inlineStr">
        <is>
          <t>TINGSRYD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46293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45547</v>
      </c>
      <c r="E344" s="1" t="n">
        <v>46293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46293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46293</v>
      </c>
      <c r="F346" t="inlineStr">
        <is>
          <t>KRONOBERGS LÄN</t>
        </is>
      </c>
      <c r="G346" t="inlineStr">
        <is>
          <t>TINGSRYD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45982</v>
      </c>
      <c r="E347" s="1" t="n">
        <v>46293</v>
      </c>
      <c r="F347" t="inlineStr">
        <is>
          <t>KRONOBERGS LÄN</t>
        </is>
      </c>
      <c r="G347" t="inlineStr">
        <is>
          <t>TINGSRYD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46293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46293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46293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46293</v>
      </c>
      <c r="F351" t="inlineStr">
        <is>
          <t>KRONOBERGS LÄN</t>
        </is>
      </c>
      <c r="G351" t="inlineStr">
        <is>
          <t>TINGSRYD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46293</v>
      </c>
      <c r="F352" t="inlineStr">
        <is>
          <t>KRONOBERGS LÄN</t>
        </is>
      </c>
      <c r="G352" t="inlineStr">
        <is>
          <t>TINGSRYD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45803</v>
      </c>
      <c r="E353" s="1" t="n">
        <v>46293</v>
      </c>
      <c r="F353" t="inlineStr">
        <is>
          <t>KRONOBERGS LÄN</t>
        </is>
      </c>
      <c r="G353" t="inlineStr">
        <is>
          <t>TINGSRYD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45552</v>
      </c>
      <c r="E354" s="1" t="n">
        <v>46293</v>
      </c>
      <c r="F354" t="inlineStr">
        <is>
          <t>KRONOBERGS LÄN</t>
        </is>
      </c>
      <c r="G354" t="inlineStr">
        <is>
          <t>TINGSRYD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46293</v>
      </c>
      <c r="F355" t="inlineStr">
        <is>
          <t>KRONOBERGS LÄN</t>
        </is>
      </c>
      <c r="G355" t="inlineStr">
        <is>
          <t>TINGSRYD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46293</v>
      </c>
      <c r="F356" t="inlineStr">
        <is>
          <t>KRONOBERGS LÄN</t>
        </is>
      </c>
      <c r="G356" t="inlineStr">
        <is>
          <t>TINGSRYD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46293</v>
      </c>
      <c r="F357" t="inlineStr">
        <is>
          <t>KRONOBERGS LÄN</t>
        </is>
      </c>
      <c r="G357" t="inlineStr">
        <is>
          <t>TINGSRYD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45755</v>
      </c>
      <c r="E358" s="1" t="n">
        <v>46293</v>
      </c>
      <c r="F358" t="inlineStr">
        <is>
          <t>KRONOBERGS LÄN</t>
        </is>
      </c>
      <c r="G358" t="inlineStr">
        <is>
          <t>TINGSRYD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63938-2025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46293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46293</v>
      </c>
      <c r="F360" t="inlineStr">
        <is>
          <t>KRONOBERGS LÄN</t>
        </is>
      </c>
      <c r="G360" t="inlineStr">
        <is>
          <t>TINGSRYD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46293</v>
      </c>
      <c r="F361" t="inlineStr">
        <is>
          <t>KRONOBERGS LÄN</t>
        </is>
      </c>
      <c r="G361" t="inlineStr">
        <is>
          <t>TINGSRYD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46293</v>
      </c>
      <c r="F362" t="inlineStr">
        <is>
          <t>KRONOBERGS LÄN</t>
        </is>
      </c>
      <c r="G362" t="inlineStr">
        <is>
          <t>TINGSRYD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46293</v>
      </c>
      <c r="F363" t="inlineStr">
        <is>
          <t>KRONOBERGS LÄN</t>
        </is>
      </c>
      <c r="G363" t="inlineStr">
        <is>
          <t>TINGSRYD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46293</v>
      </c>
      <c r="F364" t="inlineStr">
        <is>
          <t>KRONOBERGS LÄN</t>
        </is>
      </c>
      <c r="G364" t="inlineStr">
        <is>
          <t>TINGSRYD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46293</v>
      </c>
      <c r="F365" t="inlineStr">
        <is>
          <t>KRONOBERGS LÄN</t>
        </is>
      </c>
      <c r="G365" t="inlineStr">
        <is>
          <t>TINGSRYD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46293</v>
      </c>
      <c r="F366" t="inlineStr">
        <is>
          <t>KRONOBERGS LÄN</t>
        </is>
      </c>
      <c r="G366" t="inlineStr">
        <is>
          <t>TINGSRYD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46293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44748</v>
      </c>
      <c r="E368" s="1" t="n">
        <v>46293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46293</v>
      </c>
      <c r="F369" t="inlineStr">
        <is>
          <t>KRONOBERGS LÄN</t>
        </is>
      </c>
      <c r="G369" t="inlineStr">
        <is>
          <t>TINGSRYD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46293</v>
      </c>
      <c r="F370" t="inlineStr">
        <is>
          <t>KRONOBERGS LÄN</t>
        </is>
      </c>
      <c r="G370" t="inlineStr">
        <is>
          <t>TINGSRYD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46293</v>
      </c>
      <c r="F371" t="inlineStr">
        <is>
          <t>KRONOBERGS LÄN</t>
        </is>
      </c>
      <c r="G371" t="inlineStr">
        <is>
          <t>TINGSRYD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46293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46003</v>
      </c>
      <c r="E373" s="1" t="n">
        <v>46293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46293</v>
      </c>
      <c r="F374" t="inlineStr">
        <is>
          <t>KRONOBERGS LÄN</t>
        </is>
      </c>
      <c r="G374" t="inlineStr">
        <is>
          <t>TINGSRYD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46293</v>
      </c>
      <c r="F375" t="inlineStr">
        <is>
          <t>KRONOBERGS LÄN</t>
        </is>
      </c>
      <c r="G375" t="inlineStr">
        <is>
          <t>TINGSRYD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45469</v>
      </c>
      <c r="E376" s="1" t="n">
        <v>46293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46293</v>
      </c>
      <c r="F377" t="inlineStr">
        <is>
          <t>KRONOBERGS LÄN</t>
        </is>
      </c>
      <c r="G377" t="inlineStr">
        <is>
          <t>TINGSRYD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46293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46293</v>
      </c>
      <c r="F379" t="inlineStr">
        <is>
          <t>KRONOBERGS LÄN</t>
        </is>
      </c>
      <c r="G379" t="inlineStr">
        <is>
          <t>TINGSRYD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46293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46293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46293</v>
      </c>
      <c r="F382" t="inlineStr">
        <is>
          <t>KRONOBERGS LÄN</t>
        </is>
      </c>
      <c r="G382" t="inlineStr">
        <is>
          <t>TINGSRYD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45722</v>
      </c>
      <c r="E383" s="1" t="n">
        <v>46293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46293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46293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46293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46293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46293</v>
      </c>
      <c r="F388" t="inlineStr">
        <is>
          <t>KRONOBERGS LÄN</t>
        </is>
      </c>
      <c r="G388" t="inlineStr">
        <is>
          <t>TINGSRYD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63078-2021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44505</v>
      </c>
      <c r="E389" s="1" t="n">
        <v>46293</v>
      </c>
      <c r="F389" t="inlineStr">
        <is>
          <t>KRONOBERGS LÄN</t>
        </is>
      </c>
      <c r="G389" t="inlineStr">
        <is>
          <t>TINGSRYD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46293</v>
      </c>
      <c r="F390" t="inlineStr">
        <is>
          <t>KRONOBERGS LÄN</t>
        </is>
      </c>
      <c r="G390" t="inlineStr">
        <is>
          <t>TINGSRYD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46293</v>
      </c>
      <c r="F391" t="inlineStr">
        <is>
          <t>KRONOBERGS LÄN</t>
        </is>
      </c>
      <c r="G391" t="inlineStr">
        <is>
          <t>TINGSRYD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46293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46293</v>
      </c>
      <c r="F393" t="inlineStr">
        <is>
          <t>KRONOBERGS LÄN</t>
        </is>
      </c>
      <c r="G393" t="inlineStr">
        <is>
          <t>TINGSRYD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46293</v>
      </c>
      <c r="F394" t="inlineStr">
        <is>
          <t>KRONOBERGS LÄN</t>
        </is>
      </c>
      <c r="G394" t="inlineStr">
        <is>
          <t>TINGSRYD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46293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46293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46293</v>
      </c>
      <c r="F397" t="inlineStr">
        <is>
          <t>KRONOBERGS LÄN</t>
        </is>
      </c>
      <c r="G397" t="inlineStr">
        <is>
          <t>TINGSRYD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46293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46293</v>
      </c>
      <c r="F399" t="inlineStr">
        <is>
          <t>KRONOBERGS LÄN</t>
        </is>
      </c>
      <c r="G399" t="inlineStr">
        <is>
          <t>TINGSRYD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45820</v>
      </c>
      <c r="E400" s="1" t="n">
        <v>46293</v>
      </c>
      <c r="F400" t="inlineStr">
        <is>
          <t>KRONOBERGS LÄN</t>
        </is>
      </c>
      <c r="G400" t="inlineStr">
        <is>
          <t>TINGSRYD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68681-2021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44529</v>
      </c>
      <c r="E401" s="1" t="n">
        <v>46293</v>
      </c>
      <c r="F401" t="inlineStr">
        <is>
          <t>KRONOBERGS LÄN</t>
        </is>
      </c>
      <c r="G401" t="inlineStr">
        <is>
          <t>TINGSRYD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45793</v>
      </c>
      <c r="E402" s="1" t="n">
        <v>46293</v>
      </c>
      <c r="F402" t="inlineStr">
        <is>
          <t>KRONOBERGS LÄN</t>
        </is>
      </c>
      <c r="G402" t="inlineStr">
        <is>
          <t>TINGSRYD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46293</v>
      </c>
      <c r="F403" t="inlineStr">
        <is>
          <t>KRONOBERGS LÄN</t>
        </is>
      </c>
      <c r="G403" t="inlineStr">
        <is>
          <t>TINGSRYD</t>
        </is>
      </c>
      <c r="H403" t="inlineStr">
        <is>
          <t>Kommuner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45821</v>
      </c>
      <c r="E404" s="1" t="n">
        <v>46293</v>
      </c>
      <c r="F404" t="inlineStr">
        <is>
          <t>KRONOBERGS LÄN</t>
        </is>
      </c>
      <c r="G404" t="inlineStr">
        <is>
          <t>TINGSRYD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46035</v>
      </c>
      <c r="E405" s="1" t="n">
        <v>46293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46293</v>
      </c>
      <c r="F406" t="inlineStr">
        <is>
          <t>KRONOBERGS LÄN</t>
        </is>
      </c>
      <c r="G406" t="inlineStr">
        <is>
          <t>TINGSRYD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46293</v>
      </c>
      <c r="F407" t="inlineStr">
        <is>
          <t>KRONOBERGS LÄN</t>
        </is>
      </c>
      <c r="G407" t="inlineStr">
        <is>
          <t>TINGSRYD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44299-2023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45188</v>
      </c>
      <c r="E408" s="1" t="n">
        <v>46293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46293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46293</v>
      </c>
      <c r="F410" t="inlineStr">
        <is>
          <t>KRONOBERGS LÄN</t>
        </is>
      </c>
      <c r="G410" t="inlineStr">
        <is>
          <t>TINGSRYD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46293</v>
      </c>
      <c r="F411" t="inlineStr">
        <is>
          <t>KRONOBERGS LÄN</t>
        </is>
      </c>
      <c r="G411" t="inlineStr">
        <is>
          <t>TINGSRYD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46293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46293</v>
      </c>
      <c r="F413" t="inlineStr">
        <is>
          <t>KRONOBERGS LÄN</t>
        </is>
      </c>
      <c r="G413" t="inlineStr">
        <is>
          <t>TINGSRYD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46293</v>
      </c>
      <c r="F414" t="inlineStr">
        <is>
          <t>KRONOBERGS LÄN</t>
        </is>
      </c>
      <c r="G414" t="inlineStr">
        <is>
          <t>TINGSRYD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46293</v>
      </c>
      <c r="F415" t="inlineStr">
        <is>
          <t>KRONOBERGS LÄN</t>
        </is>
      </c>
      <c r="G415" t="inlineStr">
        <is>
          <t>TINGSRYD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46293</v>
      </c>
      <c r="F416" t="inlineStr">
        <is>
          <t>KRONOBERGS LÄN</t>
        </is>
      </c>
      <c r="G416" t="inlineStr">
        <is>
          <t>TINGSRYD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46293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45247</v>
      </c>
      <c r="E418" s="1" t="n">
        <v>46293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46293</v>
      </c>
      <c r="F419" t="inlineStr">
        <is>
          <t>KRONOBERGS LÄN</t>
        </is>
      </c>
      <c r="G419" t="inlineStr">
        <is>
          <t>TINGSRYD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46293</v>
      </c>
      <c r="F420" t="inlineStr">
        <is>
          <t>KRONOBERGS LÄN</t>
        </is>
      </c>
      <c r="G420" t="inlineStr">
        <is>
          <t>TINGSRYD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45110</v>
      </c>
      <c r="E421" s="1" t="n">
        <v>46293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46293</v>
      </c>
      <c r="F422" t="inlineStr">
        <is>
          <t>KRONOBERGS LÄN</t>
        </is>
      </c>
      <c r="G422" t="inlineStr">
        <is>
          <t>TINGSRYD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46293</v>
      </c>
      <c r="F423" t="inlineStr">
        <is>
          <t>KRONOBERGS LÄN</t>
        </is>
      </c>
      <c r="G423" t="inlineStr">
        <is>
          <t>TINGSRYD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46293</v>
      </c>
      <c r="F424" t="inlineStr">
        <is>
          <t>KRONOBERGS LÄN</t>
        </is>
      </c>
      <c r="G424" t="inlineStr">
        <is>
          <t>TINGSRYD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46293</v>
      </c>
      <c r="F425" t="inlineStr">
        <is>
          <t>KRONOBERGS LÄN</t>
        </is>
      </c>
      <c r="G425" t="inlineStr">
        <is>
          <t>TINGSRYD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46293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46293</v>
      </c>
      <c r="F427" t="inlineStr">
        <is>
          <t>KRONOBERGS LÄN</t>
        </is>
      </c>
      <c r="G427" t="inlineStr">
        <is>
          <t>TINGSRYD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45904</v>
      </c>
      <c r="E428" s="1" t="n">
        <v>46293</v>
      </c>
      <c r="F428" t="inlineStr">
        <is>
          <t>KRONOBERGS LÄN</t>
        </is>
      </c>
      <c r="G428" t="inlineStr">
        <is>
          <t>TINGSRYD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10763-2022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46293</v>
      </c>
      <c r="F429" t="inlineStr">
        <is>
          <t>KRONOBERGS LÄN</t>
        </is>
      </c>
      <c r="G429" t="inlineStr">
        <is>
          <t>TINGSRYD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46293</v>
      </c>
      <c r="F430" t="inlineStr">
        <is>
          <t>KRONOBERGS LÄN</t>
        </is>
      </c>
      <c r="G430" t="inlineStr">
        <is>
          <t>TINGSRYD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46293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45071</v>
      </c>
      <c r="E432" s="1" t="n">
        <v>46293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46293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46293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46293</v>
      </c>
      <c r="F435" t="inlineStr">
        <is>
          <t>KRONOBERGS LÄN</t>
        </is>
      </c>
      <c r="G435" t="inlineStr">
        <is>
          <t>TINGSRYD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46293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11559-2022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44631</v>
      </c>
      <c r="E437" s="1" t="n">
        <v>46293</v>
      </c>
      <c r="F437" t="inlineStr">
        <is>
          <t>KRONOBERGS LÄN</t>
        </is>
      </c>
      <c r="G437" t="inlineStr">
        <is>
          <t>TINGSRYD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46293</v>
      </c>
      <c r="F438" t="inlineStr">
        <is>
          <t>KRONOBERGS LÄN</t>
        </is>
      </c>
      <c r="G438" t="inlineStr">
        <is>
          <t>TINGSRYD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46293</v>
      </c>
      <c r="F439" t="inlineStr">
        <is>
          <t>KRONOBERGS LÄN</t>
        </is>
      </c>
      <c r="G439" t="inlineStr">
        <is>
          <t>TINGSRYD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46293</v>
      </c>
      <c r="F440" t="inlineStr">
        <is>
          <t>KRONOBERGS LÄN</t>
        </is>
      </c>
      <c r="G440" t="inlineStr">
        <is>
          <t>TINGSRYD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46293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45466</v>
      </c>
      <c r="E442" s="1" t="n">
        <v>46293</v>
      </c>
      <c r="F442" t="inlineStr">
        <is>
          <t>KRONOBERGS LÄN</t>
        </is>
      </c>
      <c r="G442" t="inlineStr">
        <is>
          <t>TINGSRYD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54466-2021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44473</v>
      </c>
      <c r="E443" s="1" t="n">
        <v>46293</v>
      </c>
      <c r="F443" t="inlineStr">
        <is>
          <t>KRONOBERGS LÄN</t>
        </is>
      </c>
      <c r="G443" t="inlineStr">
        <is>
          <t>TINGSRYD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44790</v>
      </c>
      <c r="E444" s="1" t="n">
        <v>46293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24390-2023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45082</v>
      </c>
      <c r="E445" s="1" t="n">
        <v>46293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46293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7989-2022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44609</v>
      </c>
      <c r="E447" s="1" t="n">
        <v>46293</v>
      </c>
      <c r="F447" t="inlineStr">
        <is>
          <t>KRONOBERGS LÄN</t>
        </is>
      </c>
      <c r="G447" t="inlineStr">
        <is>
          <t>TINGSRYD</t>
        </is>
      </c>
      <c r="H447" t="inlineStr">
        <is>
          <t>Kommuner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46293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44916</v>
      </c>
      <c r="E449" s="1" t="n">
        <v>46293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46293</v>
      </c>
      <c r="F450" t="inlineStr">
        <is>
          <t>KRONOBERGS LÄN</t>
        </is>
      </c>
      <c r="G450" t="inlineStr">
        <is>
          <t>TINGSRYD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45261</v>
      </c>
      <c r="E451" s="1" t="n">
        <v>46293</v>
      </c>
      <c r="F451" t="inlineStr">
        <is>
          <t>KRONOBERGS LÄN</t>
        </is>
      </c>
      <c r="G451" t="inlineStr">
        <is>
          <t>TINGSRYD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46293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46293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46293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45439</v>
      </c>
      <c r="E455" s="1" t="n">
        <v>46293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45832</v>
      </c>
      <c r="E456" s="1" t="n">
        <v>46293</v>
      </c>
      <c r="F456" t="inlineStr">
        <is>
          <t>KRONOBERGS LÄN</t>
        </is>
      </c>
      <c r="G456" t="inlineStr">
        <is>
          <t>TINGSRYD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46293</v>
      </c>
      <c r="F457" t="inlineStr">
        <is>
          <t>KRONOBERGS LÄN</t>
        </is>
      </c>
      <c r="G457" t="inlineStr">
        <is>
          <t>TINGSRYD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46293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54722-2023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45229</v>
      </c>
      <c r="E459" s="1" t="n">
        <v>46293</v>
      </c>
      <c r="F459" t="inlineStr">
        <is>
          <t>KRONOBERGS LÄN</t>
        </is>
      </c>
      <c r="G459" t="inlineStr">
        <is>
          <t>TINGSRYD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45407</v>
      </c>
      <c r="E460" s="1" t="n">
        <v>46293</v>
      </c>
      <c r="F460" t="inlineStr">
        <is>
          <t>KRONOBERGS LÄN</t>
        </is>
      </c>
      <c r="G460" t="inlineStr">
        <is>
          <t>TINGSRYD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46293</v>
      </c>
      <c r="F461" t="inlineStr">
        <is>
          <t>KRONOBERGS LÄN</t>
        </is>
      </c>
      <c r="G461" t="inlineStr">
        <is>
          <t>TINGSRYD</t>
        </is>
      </c>
      <c r="H461" t="inlineStr">
        <is>
          <t>Kommuner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46293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45902</v>
      </c>
      <c r="E463" s="1" t="n">
        <v>46293</v>
      </c>
      <c r="F463" t="inlineStr">
        <is>
          <t>KRONOBERGS LÄN</t>
        </is>
      </c>
      <c r="G463" t="inlineStr">
        <is>
          <t>TINGSRYD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46293</v>
      </c>
      <c r="F464" t="inlineStr">
        <is>
          <t>KRONOBERGS LÄN</t>
        </is>
      </c>
      <c r="G464" t="inlineStr">
        <is>
          <t>TINGSRYD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46293</v>
      </c>
      <c r="F465" t="inlineStr">
        <is>
          <t>KRONOBERGS LÄN</t>
        </is>
      </c>
      <c r="G465" t="inlineStr">
        <is>
          <t>TINGSRYD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46293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46293</v>
      </c>
      <c r="F467" t="inlineStr">
        <is>
          <t>KRONOBERGS LÄN</t>
        </is>
      </c>
      <c r="G467" t="inlineStr">
        <is>
          <t>TINGSRYD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46293</v>
      </c>
      <c r="F468" t="inlineStr">
        <is>
          <t>KRONOBERGS LÄN</t>
        </is>
      </c>
      <c r="G468" t="inlineStr">
        <is>
          <t>TINGSRYD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45434</v>
      </c>
      <c r="E469" s="1" t="n">
        <v>46293</v>
      </c>
      <c r="F469" t="inlineStr">
        <is>
          <t>KRONOBERGS LÄN</t>
        </is>
      </c>
      <c r="G469" t="inlineStr">
        <is>
          <t>TINGSRYD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46293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46293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46293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57430-2021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46293</v>
      </c>
      <c r="F473" t="inlineStr">
        <is>
          <t>KRONOBERGS LÄN</t>
        </is>
      </c>
      <c r="G473" t="inlineStr">
        <is>
          <t>TINGSRYD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45839</v>
      </c>
      <c r="E474" s="1" t="n">
        <v>46293</v>
      </c>
      <c r="F474" t="inlineStr">
        <is>
          <t>KRONOBERGS LÄN</t>
        </is>
      </c>
      <c r="G474" t="inlineStr">
        <is>
          <t>TINGSRYD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17010-2023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45034</v>
      </c>
      <c r="E475" s="1" t="n">
        <v>46293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45170</v>
      </c>
      <c r="E476" s="1" t="n">
        <v>46293</v>
      </c>
      <c r="F476" t="inlineStr">
        <is>
          <t>KRONOBERGS LÄN</t>
        </is>
      </c>
      <c r="G476" t="inlineStr">
        <is>
          <t>TINGSRYD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45841</v>
      </c>
      <c r="E477" s="1" t="n">
        <v>46293</v>
      </c>
      <c r="F477" t="inlineStr">
        <is>
          <t>KRONOBERGS LÄN</t>
        </is>
      </c>
      <c r="G477" t="inlineStr">
        <is>
          <t>TINGSRYD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45574</v>
      </c>
      <c r="E478" s="1" t="n">
        <v>46293</v>
      </c>
      <c r="F478" t="inlineStr">
        <is>
          <t>KRONOBERGS LÄN</t>
        </is>
      </c>
      <c r="G478" t="inlineStr">
        <is>
          <t>TINGSRYD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46293</v>
      </c>
      <c r="F479" t="inlineStr">
        <is>
          <t>KRONOBERGS LÄN</t>
        </is>
      </c>
      <c r="G479" t="inlineStr">
        <is>
          <t>TINGSRYD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46293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44895</v>
      </c>
      <c r="E481" s="1" t="n">
        <v>46293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45330</v>
      </c>
      <c r="E482" s="1" t="n">
        <v>46293</v>
      </c>
      <c r="F482" t="inlineStr">
        <is>
          <t>KRONOBERGS LÄN</t>
        </is>
      </c>
      <c r="G482" t="inlineStr">
        <is>
          <t>TINGSRYD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46293</v>
      </c>
      <c r="F483" t="inlineStr">
        <is>
          <t>KRONOBERGS LÄN</t>
        </is>
      </c>
      <c r="G483" t="inlineStr">
        <is>
          <t>TINGSRYD</t>
        </is>
      </c>
      <c r="H483" t="inlineStr">
        <is>
          <t>Sveaskog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46293</v>
      </c>
      <c r="F484" t="inlineStr">
        <is>
          <t>KRONOBERGS LÄN</t>
        </is>
      </c>
      <c r="G484" t="inlineStr">
        <is>
          <t>TINGSRYD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46293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44967</v>
      </c>
      <c r="E486" s="1" t="n">
        <v>46293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46293</v>
      </c>
      <c r="F487" t="inlineStr">
        <is>
          <t>KRONOBERGS LÄN</t>
        </is>
      </c>
      <c r="G487" t="inlineStr">
        <is>
          <t>TINGSRYD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23948-2026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46167</v>
      </c>
      <c r="E488" s="1" t="n">
        <v>46293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46293</v>
      </c>
      <c r="F489" t="inlineStr">
        <is>
          <t>KRONOBERGS LÄN</t>
        </is>
      </c>
      <c r="G489" t="inlineStr">
        <is>
          <t>TINGSRYD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46293</v>
      </c>
      <c r="F490" t="inlineStr">
        <is>
          <t>KRONOBERGS LÄN</t>
        </is>
      </c>
      <c r="G490" t="inlineStr">
        <is>
          <t>TINGSRYD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46293</v>
      </c>
      <c r="F491" t="inlineStr">
        <is>
          <t>KRONOBERGS LÄN</t>
        </is>
      </c>
      <c r="G491" t="inlineStr">
        <is>
          <t>TINGSRYD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46293</v>
      </c>
      <c r="F492" t="inlineStr">
        <is>
          <t>KRONOBERGS LÄN</t>
        </is>
      </c>
      <c r="G492" t="inlineStr">
        <is>
          <t>TINGSRYD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46293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45751</v>
      </c>
      <c r="E494" s="1" t="n">
        <v>46293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46293</v>
      </c>
      <c r="F495" t="inlineStr">
        <is>
          <t>KRONOBERGS LÄN</t>
        </is>
      </c>
      <c r="G495" t="inlineStr">
        <is>
          <t>TINGSRYD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46293</v>
      </c>
      <c r="F496" t="inlineStr">
        <is>
          <t>KRONOBERGS LÄN</t>
        </is>
      </c>
      <c r="G496" t="inlineStr">
        <is>
          <t>TINGSRYD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44953</v>
      </c>
      <c r="E497" s="1" t="n">
        <v>46293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46293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45325</v>
      </c>
      <c r="E499" s="1" t="n">
        <v>46293</v>
      </c>
      <c r="F499" t="inlineStr">
        <is>
          <t>KRONOBERGS LÄN</t>
        </is>
      </c>
      <c r="G499" t="inlineStr">
        <is>
          <t>TINGSRYD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46293</v>
      </c>
      <c r="F500" t="inlineStr">
        <is>
          <t>KRONOBERGS LÄN</t>
        </is>
      </c>
      <c r="G500" t="inlineStr">
        <is>
          <t>TINGSRYD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46293</v>
      </c>
      <c r="F501" t="inlineStr">
        <is>
          <t>KRONOBERGS LÄN</t>
        </is>
      </c>
      <c r="G501" t="inlineStr">
        <is>
          <t>TINGSRYD</t>
        </is>
      </c>
      <c r="H501" t="inlineStr">
        <is>
          <t>Övriga Aktiebolag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46293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46293</v>
      </c>
      <c r="F503" t="inlineStr">
        <is>
          <t>KRONOBERGS LÄN</t>
        </is>
      </c>
      <c r="G503" t="inlineStr">
        <is>
          <t>TINGSRYD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46293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46293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46293</v>
      </c>
      <c r="F506" t="inlineStr">
        <is>
          <t>KRONOBERGS LÄN</t>
        </is>
      </c>
      <c r="G506" t="inlineStr">
        <is>
          <t>TINGSRYD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46293</v>
      </c>
      <c r="F507" t="inlineStr">
        <is>
          <t>KRONOBERGS LÄN</t>
        </is>
      </c>
      <c r="G507" t="inlineStr">
        <is>
          <t>TINGSRYD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46293</v>
      </c>
      <c r="F508" t="inlineStr">
        <is>
          <t>KRONOBERGS LÄN</t>
        </is>
      </c>
      <c r="G508" t="inlineStr">
        <is>
          <t>TINGSRYD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46293</v>
      </c>
      <c r="F509" t="inlineStr">
        <is>
          <t>KRONOBERGS LÄN</t>
        </is>
      </c>
      <c r="G509" t="inlineStr">
        <is>
          <t>TINGSRYD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46293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45069</v>
      </c>
      <c r="E511" s="1" t="n">
        <v>46293</v>
      </c>
      <c r="F511" t="inlineStr">
        <is>
          <t>KRONOBERGS LÄN</t>
        </is>
      </c>
      <c r="G511" t="inlineStr">
        <is>
          <t>TINGSRYD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45275</v>
      </c>
      <c r="E512" s="1" t="n">
        <v>46293</v>
      </c>
      <c r="F512" t="inlineStr">
        <is>
          <t>KRONOBERGS LÄN</t>
        </is>
      </c>
      <c r="G512" t="inlineStr">
        <is>
          <t>TINGSRYD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43858-2022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44838</v>
      </c>
      <c r="E513" s="1" t="n">
        <v>46293</v>
      </c>
      <c r="F513" t="inlineStr">
        <is>
          <t>KRONOBERGS LÄN</t>
        </is>
      </c>
      <c r="G513" t="inlineStr">
        <is>
          <t>TINGSRYD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72447-2021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44545</v>
      </c>
      <c r="E514" s="1" t="n">
        <v>46293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46293</v>
      </c>
      <c r="F515" t="inlineStr">
        <is>
          <t>KRONOBERGS LÄN</t>
        </is>
      </c>
      <c r="G515" t="inlineStr">
        <is>
          <t>TINGSRYD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44945</v>
      </c>
      <c r="E516" s="1" t="n">
        <v>46293</v>
      </c>
      <c r="F516" t="inlineStr">
        <is>
          <t>KRONOBERGS LÄN</t>
        </is>
      </c>
      <c r="G516" t="inlineStr">
        <is>
          <t>TINGSRYD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67565-2021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44524</v>
      </c>
      <c r="E517" s="1" t="n">
        <v>46293</v>
      </c>
      <c r="F517" t="inlineStr">
        <is>
          <t>KRONOBERGS LÄN</t>
        </is>
      </c>
      <c r="G517" t="inlineStr">
        <is>
          <t>TINGSRYD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54136-2022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46293</v>
      </c>
      <c r="F518" t="inlineStr">
        <is>
          <t>KRONOBERGS LÄN</t>
        </is>
      </c>
      <c r="G518" t="inlineStr">
        <is>
          <t>TINGSRYD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45424</v>
      </c>
      <c r="E519" s="1" t="n">
        <v>46293</v>
      </c>
      <c r="F519" t="inlineStr">
        <is>
          <t>KRONOBERGS LÄN</t>
        </is>
      </c>
      <c r="G519" t="inlineStr">
        <is>
          <t>TINGSRYD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45019</v>
      </c>
      <c r="E520" s="1" t="n">
        <v>46293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44930</v>
      </c>
      <c r="E521" s="1" t="n">
        <v>46293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46293</v>
      </c>
      <c r="F522" t="inlineStr">
        <is>
          <t>KRONOBERGS LÄN</t>
        </is>
      </c>
      <c r="G522" t="inlineStr">
        <is>
          <t>TINGSRYD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46293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45097</v>
      </c>
      <c r="E524" s="1" t="n">
        <v>46293</v>
      </c>
      <c r="F524" t="inlineStr">
        <is>
          <t>KRONOBERGS LÄN</t>
        </is>
      </c>
      <c r="G524" t="inlineStr">
        <is>
          <t>TINGSRYD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46293</v>
      </c>
      <c r="F525" t="inlineStr">
        <is>
          <t>KRONOBERGS LÄN</t>
        </is>
      </c>
      <c r="G525" t="inlineStr">
        <is>
          <t>TINGSRYD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46176</v>
      </c>
      <c r="E526" s="1" t="n">
        <v>46293</v>
      </c>
      <c r="F526" t="inlineStr">
        <is>
          <t>KRONOBERGS LÄN</t>
        </is>
      </c>
      <c r="G526" t="inlineStr">
        <is>
          <t>TINGSRYD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46293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46293</v>
      </c>
      <c r="F528" t="inlineStr">
        <is>
          <t>KRONOBERGS LÄN</t>
        </is>
      </c>
      <c r="G528" t="inlineStr">
        <is>
          <t>TINGSRYD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46293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46293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45250</v>
      </c>
      <c r="E531" s="1" t="n">
        <v>46293</v>
      </c>
      <c r="F531" t="inlineStr">
        <is>
          <t>KRONOBERGS LÄN</t>
        </is>
      </c>
      <c r="G531" t="inlineStr">
        <is>
          <t>TINGSRYD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46293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46293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46293</v>
      </c>
      <c r="F534" t="inlineStr">
        <is>
          <t>KRONOBERGS LÄN</t>
        </is>
      </c>
      <c r="G534" t="inlineStr">
        <is>
          <t>TINGSRYD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46146</v>
      </c>
      <c r="E535" s="1" t="n">
        <v>46293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46135</v>
      </c>
      <c r="E536" s="1" t="n">
        <v>46293</v>
      </c>
      <c r="F536" t="inlineStr">
        <is>
          <t>KRONOBERGS LÄN</t>
        </is>
      </c>
      <c r="G536" t="inlineStr">
        <is>
          <t>TINGSRYD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46293</v>
      </c>
      <c r="F537" t="inlineStr">
        <is>
          <t>KRONOBERGS LÄN</t>
        </is>
      </c>
      <c r="G537" t="inlineStr">
        <is>
          <t>TINGSRYD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46293</v>
      </c>
      <c r="F538" t="inlineStr">
        <is>
          <t>KRONOBERGS LÄN</t>
        </is>
      </c>
      <c r="G538" t="inlineStr">
        <is>
          <t>TINGSRYD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46293</v>
      </c>
      <c r="F539" t="inlineStr">
        <is>
          <t>KRONOBERGS LÄN</t>
        </is>
      </c>
      <c r="G539" t="inlineStr">
        <is>
          <t>TINGSRYD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46293</v>
      </c>
      <c r="F540" t="inlineStr">
        <is>
          <t>KRONOBERGS LÄN</t>
        </is>
      </c>
      <c r="G540" t="inlineStr">
        <is>
          <t>TINGSRYD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74236-2021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44558</v>
      </c>
      <c r="E541" s="1" t="n">
        <v>46293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71388-2021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44540</v>
      </c>
      <c r="E542" s="1" t="n">
        <v>46293</v>
      </c>
      <c r="F542" t="inlineStr">
        <is>
          <t>KRONOBERGS LÄN</t>
        </is>
      </c>
      <c r="G542" t="inlineStr">
        <is>
          <t>TINGSRYD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46293</v>
      </c>
      <c r="F543" t="inlineStr">
        <is>
          <t>KRONOBERGS LÄN</t>
        </is>
      </c>
      <c r="G543" t="inlineStr">
        <is>
          <t>TINGSRYD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46293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46293</v>
      </c>
      <c r="F545" t="inlineStr">
        <is>
          <t>KRONOBERGS LÄN</t>
        </is>
      </c>
      <c r="G545" t="inlineStr">
        <is>
          <t>TINGSRYD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45342</v>
      </c>
      <c r="E546" s="1" t="n">
        <v>46293</v>
      </c>
      <c r="F546" t="inlineStr">
        <is>
          <t>KRONOBERGS LÄN</t>
        </is>
      </c>
      <c r="G546" t="inlineStr">
        <is>
          <t>TINGSRYD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44575</v>
      </c>
      <c r="E547" s="1" t="n">
        <v>46293</v>
      </c>
      <c r="F547" t="inlineStr">
        <is>
          <t>KRONOBERGS LÄN</t>
        </is>
      </c>
      <c r="G547" t="inlineStr">
        <is>
          <t>TINGSRYD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46293</v>
      </c>
      <c r="F548" t="inlineStr">
        <is>
          <t>KRONOBERGS LÄN</t>
        </is>
      </c>
      <c r="G548" t="inlineStr">
        <is>
          <t>TINGSRYD</t>
        </is>
      </c>
      <c r="H548" t="inlineStr">
        <is>
          <t>Kommuner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45160</v>
      </c>
      <c r="E549" s="1" t="n">
        <v>46293</v>
      </c>
      <c r="F549" t="inlineStr">
        <is>
          <t>KRONOBERGS LÄN</t>
        </is>
      </c>
      <c r="G549" t="inlineStr">
        <is>
          <t>TINGSRYD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46293</v>
      </c>
      <c r="F550" t="inlineStr">
        <is>
          <t>KRONOBERGS LÄN</t>
        </is>
      </c>
      <c r="G550" t="inlineStr">
        <is>
          <t>TINGSRYD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46293</v>
      </c>
      <c r="F551" t="inlineStr">
        <is>
          <t>KRONOBERGS LÄN</t>
        </is>
      </c>
      <c r="G551" t="inlineStr">
        <is>
          <t>TINGSRYD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46293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46293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46293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45540</v>
      </c>
      <c r="E555" s="1" t="n">
        <v>46293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45874</v>
      </c>
      <c r="E556" s="1" t="n">
        <v>46293</v>
      </c>
      <c r="F556" t="inlineStr">
        <is>
          <t>KRONOBERGS LÄN</t>
        </is>
      </c>
      <c r="G556" t="inlineStr">
        <is>
          <t>TINGSRYD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46293</v>
      </c>
      <c r="F557" t="inlineStr">
        <is>
          <t>KRONOBERGS LÄN</t>
        </is>
      </c>
      <c r="G557" t="inlineStr">
        <is>
          <t>TINGSRYD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46293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36707-2025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45873</v>
      </c>
      <c r="E559" s="1" t="n">
        <v>46293</v>
      </c>
      <c r="F559" t="inlineStr">
        <is>
          <t>KRONOBERGS LÄN</t>
        </is>
      </c>
      <c r="G559" t="inlineStr">
        <is>
          <t>TINGSRYD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27397-2026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46189</v>
      </c>
      <c r="E560" s="1" t="n">
        <v>46293</v>
      </c>
      <c r="F560" t="inlineStr">
        <is>
          <t>KRONOBERGS LÄN</t>
        </is>
      </c>
      <c r="G560" t="inlineStr">
        <is>
          <t>TINGSRYD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44795</v>
      </c>
      <c r="E561" s="1" t="n">
        <v>46293</v>
      </c>
      <c r="F561" t="inlineStr">
        <is>
          <t>KRONOBERGS LÄN</t>
        </is>
      </c>
      <c r="G561" t="inlineStr">
        <is>
          <t>TINGSRYD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45877</v>
      </c>
      <c r="E562" s="1" t="n">
        <v>46293</v>
      </c>
      <c r="F562" t="inlineStr">
        <is>
          <t>KRONOBERGS LÄN</t>
        </is>
      </c>
      <c r="G562" t="inlineStr">
        <is>
          <t>TINGSRYD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28602-2026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46197</v>
      </c>
      <c r="E563" s="1" t="n">
        <v>46293</v>
      </c>
      <c r="F563" t="inlineStr">
        <is>
          <t>KRONOBERGS LÄN</t>
        </is>
      </c>
      <c r="G563" t="inlineStr">
        <is>
          <t>TINGSRYD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45033</v>
      </c>
      <c r="E564" s="1" t="n">
        <v>46293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46293</v>
      </c>
      <c r="F565" t="inlineStr">
        <is>
          <t>KRONOBERGS LÄN</t>
        </is>
      </c>
      <c r="G565" t="inlineStr">
        <is>
          <t>TINGSRYD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44570</v>
      </c>
      <c r="E566" s="1" t="n">
        <v>46293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73272-2021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46293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46293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46293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45631</v>
      </c>
      <c r="E570" s="1" t="n">
        <v>46293</v>
      </c>
      <c r="F570" t="inlineStr">
        <is>
          <t>KRONOBERGS LÄN</t>
        </is>
      </c>
      <c r="G570" t="inlineStr">
        <is>
          <t>TINGSRYD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45426</v>
      </c>
      <c r="E571" s="1" t="n">
        <v>46293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45152</v>
      </c>
      <c r="E572" s="1" t="n">
        <v>46293</v>
      </c>
      <c r="F572" t="inlineStr">
        <is>
          <t>KRONOBERGS LÄN</t>
        </is>
      </c>
      <c r="G572" t="inlineStr">
        <is>
          <t>TINGSRYD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46293</v>
      </c>
      <c r="F573" t="inlineStr">
        <is>
          <t>KRONOBERGS LÄN</t>
        </is>
      </c>
      <c r="G573" t="inlineStr">
        <is>
          <t>TINGSRYD</t>
        </is>
      </c>
      <c r="H573" t="inlineStr">
        <is>
          <t>Kyrkan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45881</v>
      </c>
      <c r="E574" s="1" t="n">
        <v>46293</v>
      </c>
      <c r="F574" t="inlineStr">
        <is>
          <t>KRONOBERGS LÄN</t>
        </is>
      </c>
      <c r="G574" t="inlineStr">
        <is>
          <t>TINGSRYD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45881</v>
      </c>
      <c r="E575" s="1" t="n">
        <v>46293</v>
      </c>
      <c r="F575" t="inlineStr">
        <is>
          <t>KRONOBERGS LÄN</t>
        </is>
      </c>
      <c r="G575" t="inlineStr">
        <is>
          <t>TINGSRYD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46293</v>
      </c>
      <c r="F576" t="inlineStr">
        <is>
          <t>KRONOBERGS LÄN</t>
        </is>
      </c>
      <c r="G576" t="inlineStr">
        <is>
          <t>TINGSRYD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28923-2026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46199</v>
      </c>
      <c r="E577" s="1" t="n">
        <v>46293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46293</v>
      </c>
      <c r="F578" t="inlineStr">
        <is>
          <t>KRONOBERGS LÄN</t>
        </is>
      </c>
      <c r="G578" t="inlineStr">
        <is>
          <t>TINGSRYD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46293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46293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46293</v>
      </c>
      <c r="F581" t="inlineStr">
        <is>
          <t>KRONOBERGS LÄN</t>
        </is>
      </c>
      <c r="G581" t="inlineStr">
        <is>
          <t>TINGSRYD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46293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46293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46293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58781-2021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44489</v>
      </c>
      <c r="E585" s="1" t="n">
        <v>46293</v>
      </c>
      <c r="F585" t="inlineStr">
        <is>
          <t>KRONOBERGS LÄN</t>
        </is>
      </c>
      <c r="G585" t="inlineStr">
        <is>
          <t>TINGSRYD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44683</v>
      </c>
      <c r="E586" s="1" t="n">
        <v>46293</v>
      </c>
      <c r="F586" t="inlineStr">
        <is>
          <t>KRONOBERGS LÄN</t>
        </is>
      </c>
      <c r="G586" t="inlineStr">
        <is>
          <t>TINGSRYD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46293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46293</v>
      </c>
      <c r="F588" t="inlineStr">
        <is>
          <t>KRONOBERGS LÄN</t>
        </is>
      </c>
      <c r="G588" t="inlineStr">
        <is>
          <t>TINGSRYD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45408</v>
      </c>
      <c r="E589" s="1" t="n">
        <v>46293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46293</v>
      </c>
      <c r="F590" t="inlineStr">
        <is>
          <t>KRONOBERGS LÄN</t>
        </is>
      </c>
      <c r="G590" t="inlineStr">
        <is>
          <t>TINGSRYD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46293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46293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47550-2023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45203</v>
      </c>
      <c r="E593" s="1" t="n">
        <v>46293</v>
      </c>
      <c r="F593" t="inlineStr">
        <is>
          <t>KRONOBERGS LÄN</t>
        </is>
      </c>
      <c r="G593" t="inlineStr">
        <is>
          <t>TINGSRYD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45082</v>
      </c>
      <c r="E594" s="1" t="n">
        <v>46293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46293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46293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45106</v>
      </c>
      <c r="E597" s="1" t="n">
        <v>46293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46293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46293</v>
      </c>
      <c r="F599" t="inlineStr">
        <is>
          <t>KRONOBERGS LÄN</t>
        </is>
      </c>
      <c r="G599" t="inlineStr">
        <is>
          <t>TINGSRYD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  <c r="Z599">
        <f>HYPERLINK("https://klasma.github.io/Logging_0763/knärot/A 30016-2026 karta knärot.png", "A 30016-2026")</f>
        <v/>
      </c>
      <c r="AA599">
        <f>HYPERLINK("https://klasma.github.io/Logging_0763/klagomål/A 30016-2026 FSC-klagomål.docx", "A 30016-2026")</f>
        <v/>
      </c>
      <c r="AB599">
        <f>HYPERLINK("https://klasma.github.io/Logging_0763/klagomålsmail/A 30016-2026 FSC-klagomål mail.docx", "A 30016-2026")</f>
        <v/>
      </c>
      <c r="AC599">
        <f>HYPERLINK("https://klasma.github.io/Logging_0763/tillsyn/A 30016-2026 tillsynsbegäran.docx", "A 30016-2026")</f>
        <v/>
      </c>
      <c r="AD599">
        <f>HYPERLINK("https://klasma.github.io/Logging_0763/tillsynsmail/A 30016-2026 tillsynsbegäran mail.docx", "A 30016-2026")</f>
        <v/>
      </c>
    </row>
    <row r="600" ht="15" customHeight="1">
      <c r="A600" t="inlineStr">
        <is>
          <t>A 25010-2023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45085</v>
      </c>
      <c r="E600" s="1" t="n">
        <v>46293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46293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45107</v>
      </c>
      <c r="E602" s="1" t="n">
        <v>46293</v>
      </c>
      <c r="F602" t="inlineStr">
        <is>
          <t>KRONOBERGS LÄN</t>
        </is>
      </c>
      <c r="G602" t="inlineStr">
        <is>
          <t>TINGSRYD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44627</v>
      </c>
      <c r="E603" s="1" t="n">
        <v>46293</v>
      </c>
      <c r="F603" t="inlineStr">
        <is>
          <t>KRONOBERGS LÄN</t>
        </is>
      </c>
      <c r="G603" t="inlineStr">
        <is>
          <t>TINGSRYD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10613-2022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44624</v>
      </c>
      <c r="E604" s="1" t="n">
        <v>46293</v>
      </c>
      <c r="F604" t="inlineStr">
        <is>
          <t>KRONOBERGS LÄN</t>
        </is>
      </c>
      <c r="G604" t="inlineStr">
        <is>
          <t>TINGSRYD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38853-2024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45547</v>
      </c>
      <c r="E605" s="1" t="n">
        <v>46293</v>
      </c>
      <c r="F605" t="inlineStr">
        <is>
          <t>KRONOBERGS LÄN</t>
        </is>
      </c>
      <c r="G605" t="inlineStr">
        <is>
          <t>TINGSRYD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46293</v>
      </c>
      <c r="F606" t="inlineStr">
        <is>
          <t>KRONOBERGS LÄN</t>
        </is>
      </c>
      <c r="G606" t="inlineStr">
        <is>
          <t>TINGSRYD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46293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52430-2024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45609</v>
      </c>
      <c r="E608" s="1" t="n">
        <v>46293</v>
      </c>
      <c r="F608" t="inlineStr">
        <is>
          <t>KRONOBERGS LÄN</t>
        </is>
      </c>
      <c r="G608" t="inlineStr">
        <is>
          <t>TINGSRYD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10009-2022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44621</v>
      </c>
      <c r="E609" s="1" t="n">
        <v>46293</v>
      </c>
      <c r="F609" t="inlineStr">
        <is>
          <t>KRONOBERGS LÄN</t>
        </is>
      </c>
      <c r="G609" t="inlineStr">
        <is>
          <t>TINGSRYD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8789-2022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44614</v>
      </c>
      <c r="E610" s="1" t="n">
        <v>46293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46293</v>
      </c>
      <c r="F611" t="inlineStr">
        <is>
          <t>KRONOBERGS LÄN</t>
        </is>
      </c>
      <c r="G611" t="inlineStr">
        <is>
          <t>TINGSRYD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46212</v>
      </c>
      <c r="E612" s="1" t="n">
        <v>46293</v>
      </c>
      <c r="F612" t="inlineStr">
        <is>
          <t>KRONOBERGS LÄN</t>
        </is>
      </c>
      <c r="G612" t="inlineStr">
        <is>
          <t>TINGSRYD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49987-2023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45215</v>
      </c>
      <c r="E613" s="1" t="n">
        <v>46293</v>
      </c>
      <c r="F613" t="inlineStr">
        <is>
          <t>KRONOBERGS LÄN</t>
        </is>
      </c>
      <c r="G613" t="inlineStr">
        <is>
          <t>TINGSRYD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46293</v>
      </c>
      <c r="F614" t="inlineStr">
        <is>
          <t>KRONOBERGS LÄN</t>
        </is>
      </c>
      <c r="G614" t="inlineStr">
        <is>
          <t>TINGSRYD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46213</v>
      </c>
      <c r="E615" s="1" t="n">
        <v>46293</v>
      </c>
      <c r="F615" t="inlineStr">
        <is>
          <t>KRONOBERGS LÄN</t>
        </is>
      </c>
      <c r="G615" t="inlineStr">
        <is>
          <t>TINGSRYD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34209-2023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45138</v>
      </c>
      <c r="E616" s="1" t="n">
        <v>46293</v>
      </c>
      <c r="F616" t="inlineStr">
        <is>
          <t>KRONOBERGS LÄN</t>
        </is>
      </c>
      <c r="G616" t="inlineStr">
        <is>
          <t>TINGSRYD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8919-2025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45713</v>
      </c>
      <c r="E617" s="1" t="n">
        <v>46293</v>
      </c>
      <c r="F617" t="inlineStr">
        <is>
          <t>KRONOBERGS LÄN</t>
        </is>
      </c>
      <c r="G617" t="inlineStr">
        <is>
          <t>TINGSRYD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46293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46293</v>
      </c>
      <c r="F619" t="inlineStr">
        <is>
          <t>KRONOBERGS LÄN</t>
        </is>
      </c>
      <c r="G619" t="inlineStr">
        <is>
          <t>TINGSRYD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58571-2024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46293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46293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45244</v>
      </c>
      <c r="E622" s="1" t="n">
        <v>46293</v>
      </c>
      <c r="F622" t="inlineStr">
        <is>
          <t>KRONOBERGS LÄN</t>
        </is>
      </c>
      <c r="G622" t="inlineStr">
        <is>
          <t>TINGSRYD</t>
        </is>
      </c>
      <c r="I622" t="n">
        <v>14.7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46293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44751-2024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46293</v>
      </c>
      <c r="F624" t="inlineStr">
        <is>
          <t>KRONOBERGS LÄN</t>
        </is>
      </c>
      <c r="G624" t="inlineStr">
        <is>
          <t>TINGSRYD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57157-2023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46293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49352-2023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46293</v>
      </c>
      <c r="F626" t="inlineStr">
        <is>
          <t>KRONOBERGS LÄN</t>
        </is>
      </c>
      <c r="G626" t="inlineStr">
        <is>
          <t>TINGSRYD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14918-2022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44657</v>
      </c>
      <c r="E627" s="1" t="n">
        <v>46293</v>
      </c>
      <c r="F627" t="inlineStr">
        <is>
          <t>KRONOBERGS LÄN</t>
        </is>
      </c>
      <c r="G627" t="inlineStr">
        <is>
          <t>TINGSRYD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46260</v>
      </c>
      <c r="E628" s="1" t="n">
        <v>46293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46293</v>
      </c>
      <c r="F629" t="inlineStr">
        <is>
          <t>KRONOBERGS LÄN</t>
        </is>
      </c>
      <c r="G629" t="inlineStr">
        <is>
          <t>TINGSRYD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46293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46293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43315-2023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45183</v>
      </c>
      <c r="E632" s="1" t="n">
        <v>46293</v>
      </c>
      <c r="F632" t="inlineStr">
        <is>
          <t>KRONOBERGS LÄN</t>
        </is>
      </c>
      <c r="G632" t="inlineStr">
        <is>
          <t>TINGSRYD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46293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45117</v>
      </c>
      <c r="E634" s="1" t="n">
        <v>46293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44749</v>
      </c>
      <c r="E635" s="1" t="n">
        <v>46293</v>
      </c>
      <c r="F635" t="inlineStr">
        <is>
          <t>KRONOBERGS LÄN</t>
        </is>
      </c>
      <c r="G635" t="inlineStr">
        <is>
          <t>TINGSRYD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46293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44728</v>
      </c>
      <c r="E637" s="1" t="n">
        <v>46293</v>
      </c>
      <c r="F637" t="inlineStr">
        <is>
          <t>KRONOBERGS LÄN</t>
        </is>
      </c>
      <c r="G637" t="inlineStr">
        <is>
          <t>TINGSRYD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24786-2022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44728</v>
      </c>
      <c r="E638" s="1" t="n">
        <v>46293</v>
      </c>
      <c r="F638" t="inlineStr">
        <is>
          <t>KRONOBERGS LÄN</t>
        </is>
      </c>
      <c r="G638" t="inlineStr">
        <is>
          <t>TINGSRYD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45173</v>
      </c>
      <c r="E639" s="1" t="n">
        <v>46293</v>
      </c>
      <c r="F639" t="inlineStr">
        <is>
          <t>KRONOBERGS LÄN</t>
        </is>
      </c>
      <c r="G639" t="inlineStr">
        <is>
          <t>TINGSRYD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44655</v>
      </c>
      <c r="E640" s="1" t="n">
        <v>46293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45226</v>
      </c>
      <c r="E641" s="1" t="n">
        <v>46293</v>
      </c>
      <c r="F641" t="inlineStr">
        <is>
          <t>KRONOBERGS LÄN</t>
        </is>
      </c>
      <c r="G641" t="inlineStr">
        <is>
          <t>TINGSRYD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46293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46293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44705</v>
      </c>
      <c r="E644" s="1" t="n">
        <v>46293</v>
      </c>
      <c r="F644" t="inlineStr">
        <is>
          <t>KRONOBERGS LÄN</t>
        </is>
      </c>
      <c r="G644" t="inlineStr">
        <is>
          <t>TINGSRYD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31135-2026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46209</v>
      </c>
      <c r="E645" s="1" t="n">
        <v>46293</v>
      </c>
      <c r="F645" t="inlineStr">
        <is>
          <t>KRONOBERGS LÄN</t>
        </is>
      </c>
      <c r="G645" t="inlineStr">
        <is>
          <t>TINGSRYD</t>
        </is>
      </c>
      <c r="H645" t="inlineStr">
        <is>
          <t>Naturvårdsverket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46293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47393-2022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44852</v>
      </c>
      <c r="E647" s="1" t="n">
        <v>46293</v>
      </c>
      <c r="F647" t="inlineStr">
        <is>
          <t>KRONOBERGS LÄN</t>
        </is>
      </c>
      <c r="G647" t="inlineStr">
        <is>
          <t>TINGSRYD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46293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29516-2022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44753</v>
      </c>
      <c r="E649" s="1" t="n">
        <v>46293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46262</v>
      </c>
      <c r="E650" s="1" t="n">
        <v>46293</v>
      </c>
      <c r="F650" t="inlineStr">
        <is>
          <t>KRONOBERGS LÄN</t>
        </is>
      </c>
      <c r="G650" t="inlineStr">
        <is>
          <t>TINGSRYD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39099-2023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45164</v>
      </c>
      <c r="E651" s="1" t="n">
        <v>46293</v>
      </c>
      <c r="F651" t="inlineStr">
        <is>
          <t>KRONOBERGS LÄN</t>
        </is>
      </c>
      <c r="G651" t="inlineStr">
        <is>
          <t>TINGSRYD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39103-2023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45164</v>
      </c>
      <c r="E652" s="1" t="n">
        <v>46293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46470-2023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46293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45264</v>
      </c>
      <c r="E654" s="1" t="n">
        <v>46293</v>
      </c>
      <c r="F654" t="inlineStr">
        <is>
          <t>KRONOBERGS LÄN</t>
        </is>
      </c>
      <c r="G654" t="inlineStr">
        <is>
          <t>TINGSRYD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33351-2023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45117</v>
      </c>
      <c r="E655" s="1" t="n">
        <v>46293</v>
      </c>
      <c r="F655" t="inlineStr">
        <is>
          <t>KRONOBERGS LÄN</t>
        </is>
      </c>
      <c r="G655" t="inlineStr">
        <is>
          <t>TINGSRYD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54963-2023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45236</v>
      </c>
      <c r="E656" s="1" t="n">
        <v>46293</v>
      </c>
      <c r="F656" t="inlineStr">
        <is>
          <t>KRONOBERGS LÄN</t>
        </is>
      </c>
      <c r="G656" t="inlineStr">
        <is>
          <t>TINGSRYD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45331</v>
      </c>
      <c r="E657" s="1" t="n">
        <v>46293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46293</v>
      </c>
      <c r="F658" t="inlineStr">
        <is>
          <t>KRONOBERGS LÄN</t>
        </is>
      </c>
      <c r="G658" t="inlineStr">
        <is>
          <t>TINGSRYD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55454-2023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45238</v>
      </c>
      <c r="E659" s="1" t="n">
        <v>46293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45109</v>
      </c>
      <c r="E660" s="1" t="n">
        <v>46293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30016-2023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45109</v>
      </c>
      <c r="E661" s="1" t="n">
        <v>46293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46293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46266</v>
      </c>
      <c r="E663" s="1" t="n">
        <v>46293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46293</v>
      </c>
      <c r="F664" t="inlineStr">
        <is>
          <t>KRONOBERGS LÄN</t>
        </is>
      </c>
      <c r="G664" t="inlineStr">
        <is>
          <t>TINGSRYD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36623-2022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44804</v>
      </c>
      <c r="E665" s="1" t="n">
        <v>46293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45306</v>
      </c>
      <c r="E666" s="1" t="n">
        <v>46293</v>
      </c>
      <c r="F666" t="inlineStr">
        <is>
          <t>KRONOBERGS LÄN</t>
        </is>
      </c>
      <c r="G666" t="inlineStr">
        <is>
          <t>TINGSRYD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46293</v>
      </c>
      <c r="F667" t="inlineStr">
        <is>
          <t>KRONOBERGS LÄN</t>
        </is>
      </c>
      <c r="G667" t="inlineStr">
        <is>
          <t>TINGSRYD</t>
        </is>
      </c>
      <c r="I667" t="n">
        <v>11.8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46293</v>
      </c>
      <c r="F668" t="inlineStr">
        <is>
          <t>KRONOBERGS LÄN</t>
        </is>
      </c>
      <c r="G668" t="inlineStr">
        <is>
          <t>TINGSRYD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46293</v>
      </c>
      <c r="F669" t="inlineStr">
        <is>
          <t>KRONOBERGS LÄN</t>
        </is>
      </c>
      <c r="G669" t="inlineStr">
        <is>
          <t>TINGSRYD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46293</v>
      </c>
      <c r="F670" t="inlineStr">
        <is>
          <t>KRONOBERGS LÄN</t>
        </is>
      </c>
      <c r="G670" t="inlineStr">
        <is>
          <t>TINGSRYD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36626-2022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44804</v>
      </c>
      <c r="E671" s="1" t="n">
        <v>46293</v>
      </c>
      <c r="F671" t="inlineStr">
        <is>
          <t>KRONOBERGS LÄN</t>
        </is>
      </c>
      <c r="G671" t="inlineStr">
        <is>
          <t>TINGSRYD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27905-2026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46191</v>
      </c>
      <c r="E672" s="1" t="n">
        <v>46293</v>
      </c>
      <c r="F672" t="inlineStr">
        <is>
          <t>KRONOBERGS LÄN</t>
        </is>
      </c>
      <c r="G672" t="inlineStr">
        <is>
          <t>TINGSRYD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46293</v>
      </c>
      <c r="F673" t="inlineStr">
        <is>
          <t>KRONOBERGS LÄN</t>
        </is>
      </c>
      <c r="G673" t="inlineStr">
        <is>
          <t>TINGSRYD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45366</v>
      </c>
      <c r="E674" s="1" t="n">
        <v>46293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29916-2022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46293</v>
      </c>
      <c r="F675" t="inlineStr">
        <is>
          <t>KRONOBERGS LÄN</t>
        </is>
      </c>
      <c r="G675" t="inlineStr">
        <is>
          <t>TINGSRYD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58251-2022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44901</v>
      </c>
      <c r="E676" s="1" t="n">
        <v>46293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58256-2022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44901</v>
      </c>
      <c r="E677" s="1" t="n">
        <v>46293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62209-2023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46293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45399</v>
      </c>
      <c r="E679" s="1" t="n">
        <v>46293</v>
      </c>
      <c r="F679" t="inlineStr">
        <is>
          <t>KRONOBERGS LÄN</t>
        </is>
      </c>
      <c r="G679" t="inlineStr">
        <is>
          <t>TINGSRYD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37313-2026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46274</v>
      </c>
      <c r="E680" s="1" t="n">
        <v>46293</v>
      </c>
      <c r="F680" t="inlineStr">
        <is>
          <t>KRONOBERGS LÄN</t>
        </is>
      </c>
      <c r="G680" t="inlineStr">
        <is>
          <t>TINGSRYD</t>
        </is>
      </c>
      <c r="H680" t="inlineStr">
        <is>
          <t>Sveaskog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59169-2022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46293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50715-2022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44867</v>
      </c>
      <c r="E682" s="1" t="n">
        <v>46293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44950</v>
      </c>
      <c r="E683" s="1" t="n">
        <v>46293</v>
      </c>
      <c r="F683" t="inlineStr">
        <is>
          <t>KRONOBERGS LÄN</t>
        </is>
      </c>
      <c r="G683" t="inlineStr">
        <is>
          <t>TINGSRYD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42522-2022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44831</v>
      </c>
      <c r="E684" s="1" t="n">
        <v>46293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42526-2022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44831</v>
      </c>
      <c r="E685" s="1" t="n">
        <v>46293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66789-2021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44522</v>
      </c>
      <c r="E686" s="1" t="n">
        <v>46293</v>
      </c>
      <c r="F686" t="inlineStr">
        <is>
          <t>KRONOBERGS LÄN</t>
        </is>
      </c>
      <c r="G686" t="inlineStr">
        <is>
          <t>TINGSRYD</t>
        </is>
      </c>
      <c r="H686" t="inlineStr">
        <is>
          <t>Övriga Aktiebolag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45082</v>
      </c>
      <c r="E687" s="1" t="n">
        <v>46293</v>
      </c>
      <c r="F687" t="inlineStr">
        <is>
          <t>KRONOBERGS LÄN</t>
        </is>
      </c>
      <c r="G687" t="inlineStr">
        <is>
          <t>TINGSRYD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45432</v>
      </c>
      <c r="E688" s="1" t="n">
        <v>46293</v>
      </c>
      <c r="F688" t="inlineStr">
        <is>
          <t>KRONOBERGS LÄN</t>
        </is>
      </c>
      <c r="G688" t="inlineStr">
        <is>
          <t>TINGSRYD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46293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45327</v>
      </c>
      <c r="E690" s="1" t="n">
        <v>46293</v>
      </c>
      <c r="F690" t="inlineStr">
        <is>
          <t>KRONOBERGS LÄN</t>
        </is>
      </c>
      <c r="G690" t="inlineStr">
        <is>
          <t>TINGSRYD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62975-2023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45272</v>
      </c>
      <c r="E691" s="1" t="n">
        <v>46293</v>
      </c>
      <c r="F691" t="inlineStr">
        <is>
          <t>KRONOBERGS LÄN</t>
        </is>
      </c>
      <c r="G691" t="inlineStr">
        <is>
          <t>TINGSRYD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46293</v>
      </c>
      <c r="F692" t="inlineStr">
        <is>
          <t>KRONOBERGS LÄN</t>
        </is>
      </c>
      <c r="G692" t="inlineStr">
        <is>
          <t>TINGSRYD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46981-2023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45201</v>
      </c>
      <c r="E693" s="1" t="n">
        <v>46293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28507-2022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44748</v>
      </c>
      <c r="E694" s="1" t="n">
        <v>46293</v>
      </c>
      <c r="F694" t="inlineStr">
        <is>
          <t>KRONOBERGS LÄN</t>
        </is>
      </c>
      <c r="G694" t="inlineStr">
        <is>
          <t>TINGSRYD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46293</v>
      </c>
      <c r="F695" t="inlineStr">
        <is>
          <t>KRONOBERGS LÄN</t>
        </is>
      </c>
      <c r="G695" t="inlineStr">
        <is>
          <t>TINGSRYD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44691</v>
      </c>
      <c r="E696" s="1" t="n">
        <v>46293</v>
      </c>
      <c r="F696" t="inlineStr">
        <is>
          <t>KRONOBERGS LÄN</t>
        </is>
      </c>
      <c r="G696" t="inlineStr">
        <is>
          <t>TINGSRYD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45303</v>
      </c>
      <c r="E697" s="1" t="n">
        <v>46293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54168-2024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45616</v>
      </c>
      <c r="E698" s="1" t="n">
        <v>46293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45429</v>
      </c>
      <c r="E699" s="1" t="n">
        <v>46293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46293</v>
      </c>
      <c r="F700" t="inlineStr">
        <is>
          <t>KRONOBERGS LÄN</t>
        </is>
      </c>
      <c r="G700" t="inlineStr">
        <is>
          <t>TINGSRYD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45574</v>
      </c>
      <c r="E701" s="1" t="n">
        <v>46293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45386</v>
      </c>
      <c r="E702" s="1" t="n">
        <v>46293</v>
      </c>
      <c r="F702" t="inlineStr">
        <is>
          <t>KRONOBERGS LÄN</t>
        </is>
      </c>
      <c r="G702" t="inlineStr">
        <is>
          <t>TINGSRYD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46293</v>
      </c>
      <c r="F703" t="inlineStr">
        <is>
          <t>KRONOBERGS LÄN</t>
        </is>
      </c>
      <c r="G703" t="inlineStr">
        <is>
          <t>TINGSRYD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46293</v>
      </c>
      <c r="F704" t="inlineStr">
        <is>
          <t>KRONOBERGS LÄN</t>
        </is>
      </c>
      <c r="G704" t="inlineStr">
        <is>
          <t>TINGSRYD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11182-2024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45371</v>
      </c>
      <c r="E705" s="1" t="n">
        <v>46293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45406</v>
      </c>
      <c r="E706" s="1" t="n">
        <v>46293</v>
      </c>
      <c r="F706" t="inlineStr">
        <is>
          <t>KRONOBERGS LÄN</t>
        </is>
      </c>
      <c r="G706" t="inlineStr">
        <is>
          <t>TINGSRYD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44602</v>
      </c>
      <c r="E707" s="1" t="n">
        <v>46293</v>
      </c>
      <c r="F707" t="inlineStr">
        <is>
          <t>KRONOBERGS LÄN</t>
        </is>
      </c>
      <c r="G707" t="inlineStr">
        <is>
          <t>TINGSRYD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14934-2022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44657</v>
      </c>
      <c r="E708" s="1" t="n">
        <v>46293</v>
      </c>
      <c r="F708" t="inlineStr">
        <is>
          <t>KRONOBERGS LÄN</t>
        </is>
      </c>
      <c r="G708" t="inlineStr">
        <is>
          <t>TINGSRYD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44967</v>
      </c>
      <c r="E709" s="1" t="n">
        <v>46293</v>
      </c>
      <c r="F709" t="inlineStr">
        <is>
          <t>KRONOBERGS LÄN</t>
        </is>
      </c>
      <c r="G709" t="inlineStr">
        <is>
          <t>TINGSRYD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46293</v>
      </c>
      <c r="F710" t="inlineStr">
        <is>
          <t>KRONOBERGS LÄN</t>
        </is>
      </c>
      <c r="G710" t="inlineStr">
        <is>
          <t>TINGSRYD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46293</v>
      </c>
      <c r="F711" t="inlineStr">
        <is>
          <t>KRONOBERGS LÄN</t>
        </is>
      </c>
      <c r="G711" t="inlineStr">
        <is>
          <t>TINGSRYD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44628</v>
      </c>
      <c r="E712" s="1" t="n">
        <v>46293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46293</v>
      </c>
      <c r="F713" t="inlineStr">
        <is>
          <t>KRONOBERGS LÄN</t>
        </is>
      </c>
      <c r="G713" t="inlineStr">
        <is>
          <t>TINGSRYD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44967</v>
      </c>
      <c r="E714" s="1" t="n">
        <v>46293</v>
      </c>
      <c r="F714" t="inlineStr">
        <is>
          <t>KRONOBERGS LÄN</t>
        </is>
      </c>
      <c r="G714" t="inlineStr">
        <is>
          <t>TINGSRYD</t>
        </is>
      </c>
      <c r="H714" t="inlineStr">
        <is>
          <t>Övriga Aktiebolag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44939</v>
      </c>
      <c r="E715" s="1" t="n">
        <v>46293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44988</v>
      </c>
      <c r="E716" s="1" t="n">
        <v>46293</v>
      </c>
      <c r="F716" t="inlineStr">
        <is>
          <t>KRONOBERGS LÄN</t>
        </is>
      </c>
      <c r="G716" t="inlineStr">
        <is>
          <t>TINGSRYD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45568</v>
      </c>
      <c r="E717" s="1" t="n">
        <v>46293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46287</v>
      </c>
      <c r="E718" s="1" t="n">
        <v>46293</v>
      </c>
      <c r="F718" t="inlineStr">
        <is>
          <t>KRONOBERGS LÄN</t>
        </is>
      </c>
      <c r="G718" t="inlineStr">
        <is>
          <t>TINGSRYD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44234-2023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46293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46293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14595-2024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45395</v>
      </c>
      <c r="E721" s="1" t="n">
        <v>46293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13182-2023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45002</v>
      </c>
      <c r="E722" s="1" t="n">
        <v>46293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50212-2024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45600</v>
      </c>
      <c r="E723" s="1" t="n">
        <v>46293</v>
      </c>
      <c r="F723" t="inlineStr">
        <is>
          <t>KRONOBERGS LÄN</t>
        </is>
      </c>
      <c r="G723" t="inlineStr">
        <is>
          <t>TINGSRYD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46293</v>
      </c>
      <c r="F724" t="inlineStr">
        <is>
          <t>KRONOBERGS LÄN</t>
        </is>
      </c>
      <c r="G724" t="inlineStr">
        <is>
          <t>TINGSRYD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60069-2022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44909</v>
      </c>
      <c r="E725" s="1" t="n">
        <v>46293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44698</v>
      </c>
      <c r="E726" s="1" t="n">
        <v>46293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46293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45331</v>
      </c>
      <c r="E728" s="1" t="n">
        <v>46293</v>
      </c>
      <c r="F728" t="inlineStr">
        <is>
          <t>KRONOBERGS LÄN</t>
        </is>
      </c>
      <c r="G728" t="inlineStr">
        <is>
          <t>TINGSRYD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45331</v>
      </c>
      <c r="E729" s="1" t="n">
        <v>46293</v>
      </c>
      <c r="F729" t="inlineStr">
        <is>
          <t>KRONOBERGS LÄN</t>
        </is>
      </c>
      <c r="G729" t="inlineStr">
        <is>
          <t>TINGSRYD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37126-2023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45155</v>
      </c>
      <c r="E730" s="1" t="n">
        <v>46293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63824-2021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44509</v>
      </c>
      <c r="E731" s="1" t="n">
        <v>46293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41768-2023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45176</v>
      </c>
      <c r="E732" s="1" t="n">
        <v>46293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9452-2024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45359</v>
      </c>
      <c r="E733" s="1" t="n">
        <v>46293</v>
      </c>
      <c r="F733" t="inlineStr">
        <is>
          <t>KRONOBERGS LÄN</t>
        </is>
      </c>
      <c r="G733" t="inlineStr">
        <is>
          <t>TINGSRYD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45036</v>
      </c>
      <c r="E734" s="1" t="n">
        <v>46293</v>
      </c>
      <c r="F734" t="inlineStr">
        <is>
          <t>KRONOBERGS LÄN</t>
        </is>
      </c>
      <c r="G734" t="inlineStr">
        <is>
          <t>TINGSRYD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21263-2026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46293</v>
      </c>
      <c r="F735" t="inlineStr">
        <is>
          <t>KRONOBERGS LÄN</t>
        </is>
      </c>
      <c r="G735" t="inlineStr">
        <is>
          <t>TINGSRYD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46293</v>
      </c>
      <c r="F736" t="inlineStr">
        <is>
          <t>KRONOBERGS LÄN</t>
        </is>
      </c>
      <c r="G736" t="inlineStr">
        <is>
          <t>TINGSRYD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45447</v>
      </c>
      <c r="E737" s="1" t="n">
        <v>46293</v>
      </c>
      <c r="F737" t="inlineStr">
        <is>
          <t>KRONOBERGS LÄN</t>
        </is>
      </c>
      <c r="G737" t="inlineStr">
        <is>
          <t>TINGSRYD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39659-2022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44818</v>
      </c>
      <c r="E738" s="1" t="n">
        <v>46293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44930</v>
      </c>
      <c r="E739" s="1" t="n">
        <v>46293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57020-2025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46293</v>
      </c>
      <c r="F740" t="inlineStr">
        <is>
          <t>KRONOBERGS LÄN</t>
        </is>
      </c>
      <c r="G740" t="inlineStr">
        <is>
          <t>TINGSRYD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11587-2022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46293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46293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46293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46293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46293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46293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46293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46293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46293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45547</v>
      </c>
      <c r="E750" s="1" t="n">
        <v>46293</v>
      </c>
      <c r="F750" t="inlineStr">
        <is>
          <t>KRONOBERGS LÄN</t>
        </is>
      </c>
      <c r="G750" t="inlineStr">
        <is>
          <t>TINGSRYD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25290-2023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45086</v>
      </c>
      <c r="E751" s="1" t="n">
        <v>46293</v>
      </c>
      <c r="F751" t="inlineStr">
        <is>
          <t>KRONOBERGS LÄN</t>
        </is>
      </c>
      <c r="G751" t="inlineStr">
        <is>
          <t>TINGSRYD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45674</v>
      </c>
      <c r="E752" s="1" t="n">
        <v>46293</v>
      </c>
      <c r="F752" t="inlineStr">
        <is>
          <t>KRONOBERGS LÄN</t>
        </is>
      </c>
      <c r="G752" t="inlineStr">
        <is>
          <t>TINGSRYD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13322-2023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45005</v>
      </c>
      <c r="E753" s="1" t="n">
        <v>46293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13340-2023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46293</v>
      </c>
      <c r="F754" t="inlineStr">
        <is>
          <t>KRONOBERGS LÄN</t>
        </is>
      </c>
      <c r="G754" t="inlineStr">
        <is>
          <t>TINGSRYD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45252</v>
      </c>
      <c r="E755" s="1" t="n">
        <v>46293</v>
      </c>
      <c r="F755" t="inlineStr">
        <is>
          <t>KRONOBERGS LÄN</t>
        </is>
      </c>
      <c r="G755" t="inlineStr">
        <is>
          <t>TINGSRYD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46293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38759-2024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46293</v>
      </c>
      <c r="F757" t="inlineStr">
        <is>
          <t>KRONOBERGS LÄN</t>
        </is>
      </c>
      <c r="G757" t="inlineStr">
        <is>
          <t>TINGSRYD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46293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44965</v>
      </c>
      <c r="E759" s="1" t="n">
        <v>46293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6144-2023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44964</v>
      </c>
      <c r="E760" s="1" t="n">
        <v>46293</v>
      </c>
      <c r="F760" t="inlineStr">
        <is>
          <t>KRONOBERGS LÄN</t>
        </is>
      </c>
      <c r="G760" t="inlineStr">
        <is>
          <t>TINGSRYD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44712</v>
      </c>
      <c r="E761" s="1" t="n">
        <v>46293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19765-2023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45051</v>
      </c>
      <c r="E762" s="1" t="n">
        <v>46293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44599</v>
      </c>
      <c r="E763" s="1" t="n">
        <v>46293</v>
      </c>
      <c r="F763" t="inlineStr">
        <is>
          <t>KRONOBERGS LÄN</t>
        </is>
      </c>
      <c r="G763" t="inlineStr">
        <is>
          <t>TINGSRYD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45033</v>
      </c>
      <c r="E764" s="1" t="n">
        <v>46293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33437-2023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46293</v>
      </c>
      <c r="F765" t="inlineStr">
        <is>
          <t>KRONOBERGS LÄN</t>
        </is>
      </c>
      <c r="G765" t="inlineStr">
        <is>
          <t>TINGSRYD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57111-2022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44895</v>
      </c>
      <c r="E766" s="1" t="n">
        <v>46293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61462-2022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44916</v>
      </c>
      <c r="E767" s="1" t="n">
        <v>46293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7589-2023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44972</v>
      </c>
      <c r="E768" s="1" t="n">
        <v>46293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50635-2024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45601</v>
      </c>
      <c r="E769" s="1" t="n">
        <v>46293</v>
      </c>
      <c r="F769" t="inlineStr">
        <is>
          <t>KRONOBERGS LÄN</t>
        </is>
      </c>
      <c r="G769" t="inlineStr">
        <is>
          <t>TINGSRYD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45680</v>
      </c>
      <c r="E770" s="1" t="n">
        <v>46293</v>
      </c>
      <c r="F770" t="inlineStr">
        <is>
          <t>KRONOBERGS LÄN</t>
        </is>
      </c>
      <c r="G770" t="inlineStr">
        <is>
          <t>TINGSRYD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45139</v>
      </c>
      <c r="E771" s="1" t="n">
        <v>46293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33355-2023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45117</v>
      </c>
      <c r="E772" s="1" t="n">
        <v>46293</v>
      </c>
      <c r="F772" t="inlineStr">
        <is>
          <t>KRONOBERGS LÄN</t>
        </is>
      </c>
      <c r="G772" t="inlineStr">
        <is>
          <t>TINGSRYD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33365-2023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46293</v>
      </c>
      <c r="F773" t="inlineStr">
        <is>
          <t>KRONOBERGS LÄN</t>
        </is>
      </c>
      <c r="G773" t="inlineStr">
        <is>
          <t>TINGSRYD</t>
        </is>
      </c>
      <c r="I773" t="n">
        <v>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45082</v>
      </c>
      <c r="E774" s="1" t="n">
        <v>46293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61558-2024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45646</v>
      </c>
      <c r="E775" s="1" t="n">
        <v>46293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55652-2022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44888</v>
      </c>
      <c r="E776" s="1" t="n">
        <v>46293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12044-2024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45377</v>
      </c>
      <c r="E777" s="1" t="n">
        <v>46293</v>
      </c>
      <c r="F777" t="inlineStr">
        <is>
          <t>KRONOBERGS LÄN</t>
        </is>
      </c>
      <c r="G777" t="inlineStr">
        <is>
          <t>TINGSRYD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49940-2023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46293</v>
      </c>
      <c r="F778" t="inlineStr">
        <is>
          <t>KRONOBERGS LÄN</t>
        </is>
      </c>
      <c r="G778" t="inlineStr">
        <is>
          <t>TINGSRYD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45394</v>
      </c>
      <c r="E779" s="1" t="n">
        <v>46293</v>
      </c>
      <c r="F779" t="inlineStr">
        <is>
          <t>KRONOBERGS LÄN</t>
        </is>
      </c>
      <c r="G779" t="inlineStr">
        <is>
          <t>TINGSRYD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45035</v>
      </c>
      <c r="E780" s="1" t="n">
        <v>46293</v>
      </c>
      <c r="F780" t="inlineStr">
        <is>
          <t>KRONOBERGS LÄN</t>
        </is>
      </c>
      <c r="G780" t="inlineStr">
        <is>
          <t>TINGSRYD</t>
        </is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15412-2024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45401</v>
      </c>
      <c r="E781" s="1" t="n">
        <v>46293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9822-2023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44984</v>
      </c>
      <c r="E782" s="1" t="n">
        <v>46293</v>
      </c>
      <c r="F782" t="inlineStr">
        <is>
          <t>KRONOBERGS LÄN</t>
        </is>
      </c>
      <c r="G782" t="inlineStr">
        <is>
          <t>TINGSRYD</t>
        </is>
      </c>
      <c r="I782" t="n">
        <v>8.9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45688</v>
      </c>
      <c r="E783" s="1" t="n">
        <v>46293</v>
      </c>
      <c r="F783" t="inlineStr">
        <is>
          <t>KRONOBERGS LÄN</t>
        </is>
      </c>
      <c r="G783" t="inlineStr">
        <is>
          <t>TINGSRYD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64069-2023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45279</v>
      </c>
      <c r="E784" s="1" t="n">
        <v>46293</v>
      </c>
      <c r="F784" t="inlineStr">
        <is>
          <t>KRONOBERGS LÄN</t>
        </is>
      </c>
      <c r="G784" t="inlineStr">
        <is>
          <t>TINGSRYD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46293</v>
      </c>
      <c r="F785" t="inlineStr">
        <is>
          <t>KRONOBERGS LÄN</t>
        </is>
      </c>
      <c r="G785" t="inlineStr">
        <is>
          <t>TINGSRYD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19824-2025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45771</v>
      </c>
      <c r="E786" s="1" t="n">
        <v>46293</v>
      </c>
      <c r="F786" t="inlineStr">
        <is>
          <t>KRONOBERGS LÄN</t>
        </is>
      </c>
      <c r="G786" t="inlineStr">
        <is>
          <t>TINGSRYD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46293</v>
      </c>
      <c r="F787" t="inlineStr">
        <is>
          <t>KRONOBERGS LÄN</t>
        </is>
      </c>
      <c r="G787" t="inlineStr">
        <is>
          <t>TINGSRYD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44949</v>
      </c>
      <c r="E788" s="1" t="n">
        <v>46293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7408-2023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44971</v>
      </c>
      <c r="E789" s="1" t="n">
        <v>46293</v>
      </c>
      <c r="F789" t="inlineStr">
        <is>
          <t>KRONOBERGS LÄN</t>
        </is>
      </c>
      <c r="G789" t="inlineStr">
        <is>
          <t>TINGSRYD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50817-2024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45601</v>
      </c>
      <c r="E790" s="1" t="n">
        <v>46293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44839-2024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45574</v>
      </c>
      <c r="E791" s="1" t="n">
        <v>46293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46293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16898-2025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46293</v>
      </c>
      <c r="F793" t="inlineStr">
        <is>
          <t>KRONOBERGS LÄN</t>
        </is>
      </c>
      <c r="G793" t="inlineStr">
        <is>
          <t>TINGSRYD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11600-2025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45727</v>
      </c>
      <c r="E794" s="1" t="n">
        <v>46293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44935</v>
      </c>
      <c r="E795" s="1" t="n">
        <v>46293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45034</v>
      </c>
      <c r="E796" s="1" t="n">
        <v>46293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45002</v>
      </c>
      <c r="E797" s="1" t="n">
        <v>46293</v>
      </c>
      <c r="F797" t="inlineStr">
        <is>
          <t>KRONOBERGS LÄN</t>
        </is>
      </c>
      <c r="G797" t="inlineStr">
        <is>
          <t>TINGSRYD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45124</v>
      </c>
      <c r="E798" s="1" t="n">
        <v>46293</v>
      </c>
      <c r="F798" t="inlineStr">
        <is>
          <t>KRONOBERGS LÄN</t>
        </is>
      </c>
      <c r="G798" t="inlineStr">
        <is>
          <t>TINGSRYD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44960</v>
      </c>
      <c r="E799" s="1" t="n">
        <v>46293</v>
      </c>
      <c r="F799" t="inlineStr">
        <is>
          <t>KRONOBERGS LÄN</t>
        </is>
      </c>
      <c r="G799" t="inlineStr">
        <is>
          <t>TINGSRYD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39994-2024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45553</v>
      </c>
      <c r="E800" s="1" t="n">
        <v>46293</v>
      </c>
      <c r="F800" t="inlineStr">
        <is>
          <t>KRONOBERGS LÄN</t>
        </is>
      </c>
      <c r="G800" t="inlineStr">
        <is>
          <t>TINGSRYD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11724-2022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44634</v>
      </c>
      <c r="E801" s="1" t="n">
        <v>46293</v>
      </c>
      <c r="F801" t="inlineStr">
        <is>
          <t>KRONOBERGS LÄN</t>
        </is>
      </c>
      <c r="G801" t="inlineStr">
        <is>
          <t>TINGSRYD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45394</v>
      </c>
      <c r="E802" s="1" t="n">
        <v>46293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20858-2024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45439</v>
      </c>
      <c r="E803" s="1" t="n">
        <v>46293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45691</v>
      </c>
      <c r="E804" s="1" t="n">
        <v>46293</v>
      </c>
      <c r="F804" t="inlineStr">
        <is>
          <t>KRONOBERGS LÄN</t>
        </is>
      </c>
      <c r="G804" t="inlineStr">
        <is>
          <t>TINGSRYD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46293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59082-2024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45637</v>
      </c>
      <c r="E806" s="1" t="n">
        <v>46293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59092-2024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46293</v>
      </c>
      <c r="F807" t="inlineStr">
        <is>
          <t>KRONOBERGS LÄN</t>
        </is>
      </c>
      <c r="G807" t="inlineStr">
        <is>
          <t>TINGSRYD</t>
        </is>
      </c>
      <c r="H807" t="inlineStr">
        <is>
          <t>Övriga Aktiebolag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53768-2024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46293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37393-2024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45540</v>
      </c>
      <c r="E809" s="1" t="n">
        <v>46293</v>
      </c>
      <c r="F809" t="inlineStr">
        <is>
          <t>KRONOBERGS LÄN</t>
        </is>
      </c>
      <c r="G809" t="inlineStr">
        <is>
          <t>TINGSRYD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13296-2024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46293</v>
      </c>
      <c r="F810" t="inlineStr">
        <is>
          <t>KRONOBERGS LÄN</t>
        </is>
      </c>
      <c r="G810" t="inlineStr">
        <is>
          <t>TINGSRYD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46293</v>
      </c>
      <c r="F811" t="inlineStr">
        <is>
          <t>KRONOBERGS LÄN</t>
        </is>
      </c>
      <c r="G811" t="inlineStr">
        <is>
          <t>TINGSRYD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44950</v>
      </c>
      <c r="E812" s="1" t="n">
        <v>46293</v>
      </c>
      <c r="F812" t="inlineStr">
        <is>
          <t>KRONOBERGS LÄN</t>
        </is>
      </c>
      <c r="G812" t="inlineStr">
        <is>
          <t>TINGSRYD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46293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19639-2024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45432</v>
      </c>
      <c r="E814" s="1" t="n">
        <v>46293</v>
      </c>
      <c r="F814" t="inlineStr">
        <is>
          <t>KRONOBERGS LÄN</t>
        </is>
      </c>
      <c r="G814" t="inlineStr">
        <is>
          <t>TINGSRYD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20111-2024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45434</v>
      </c>
      <c r="E815" s="1" t="n">
        <v>46293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16487-2024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45408</v>
      </c>
      <c r="E816" s="1" t="n">
        <v>46293</v>
      </c>
      <c r="F816" t="inlineStr">
        <is>
          <t>KRONOBERGS LÄN</t>
        </is>
      </c>
      <c r="G816" t="inlineStr">
        <is>
          <t>TINGSRYD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45349</v>
      </c>
      <c r="E817" s="1" t="n">
        <v>46293</v>
      </c>
      <c r="F817" t="inlineStr">
        <is>
          <t>KRONOBERGS LÄN</t>
        </is>
      </c>
      <c r="G817" t="inlineStr">
        <is>
          <t>TINGSRYD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63444-2023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45274</v>
      </c>
      <c r="E818" s="1" t="n">
        <v>46293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45670</v>
      </c>
      <c r="E819" s="1" t="n">
        <v>46293</v>
      </c>
      <c r="F819" t="inlineStr">
        <is>
          <t>KRONOBERGS LÄN</t>
        </is>
      </c>
      <c r="G819" t="inlineStr">
        <is>
          <t>TINGSRYD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46293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17936-2024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45419</v>
      </c>
      <c r="E821" s="1" t="n">
        <v>46293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45519</v>
      </c>
      <c r="E822" s="1" t="n">
        <v>46293</v>
      </c>
      <c r="F822" t="inlineStr">
        <is>
          <t>KRONOBERGS LÄN</t>
        </is>
      </c>
      <c r="G822" t="inlineStr">
        <is>
          <t>TINGSRYD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46293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25589-2023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46293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50798-2024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46293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53766-2024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45615</v>
      </c>
      <c r="E826" s="1" t="n">
        <v>46293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21506-2025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45782</v>
      </c>
      <c r="E827" s="1" t="n">
        <v>46293</v>
      </c>
      <c r="F827" t="inlineStr">
        <is>
          <t>KRONOBERGS LÄN</t>
        </is>
      </c>
      <c r="G827" t="inlineStr">
        <is>
          <t>TINGSRYD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45784</v>
      </c>
      <c r="E828" s="1" t="n">
        <v>46293</v>
      </c>
      <c r="F828" t="inlineStr">
        <is>
          <t>KRONOBERGS LÄN</t>
        </is>
      </c>
      <c r="G828" t="inlineStr">
        <is>
          <t>TINGSRYD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39850-2024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46293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21914-2025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45784</v>
      </c>
      <c r="E830" s="1" t="n">
        <v>46293</v>
      </c>
      <c r="F830" t="inlineStr">
        <is>
          <t>KRONOBERGS LÄN</t>
        </is>
      </c>
      <c r="G830" t="inlineStr">
        <is>
          <t>TINGSRYD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48953-2024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46293</v>
      </c>
      <c r="F831" t="inlineStr">
        <is>
          <t>KRONOBERGS LÄN</t>
        </is>
      </c>
      <c r="G831" t="inlineStr">
        <is>
          <t>TINGSRYD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58927-2023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46293</v>
      </c>
      <c r="F832" t="inlineStr">
        <is>
          <t>KRONOBERGS LÄN</t>
        </is>
      </c>
      <c r="G832" t="inlineStr">
        <is>
          <t>TINGSRYD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48306-2024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45590</v>
      </c>
      <c r="E833" s="1" t="n">
        <v>46293</v>
      </c>
      <c r="F833" t="inlineStr">
        <is>
          <t>KRONOBERGS LÄN</t>
        </is>
      </c>
      <c r="G833" t="inlineStr">
        <is>
          <t>TINGSRYD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45546</v>
      </c>
      <c r="E834" s="1" t="n">
        <v>46293</v>
      </c>
      <c r="F834" t="inlineStr">
        <is>
          <t>KRONOBERGS LÄN</t>
        </is>
      </c>
      <c r="G834" t="inlineStr">
        <is>
          <t>TINGSRYD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46293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8543-2025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45709</v>
      </c>
      <c r="E836" s="1" t="n">
        <v>46293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46293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46293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3190-2025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46293</v>
      </c>
      <c r="F839" t="inlineStr">
        <is>
          <t>KRONOBERGS LÄN</t>
        </is>
      </c>
      <c r="G839" t="inlineStr">
        <is>
          <t>TINGSRYD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44783</v>
      </c>
      <c r="E840" s="1" t="n">
        <v>46293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43263-2024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45568</v>
      </c>
      <c r="E841" s="1" t="n">
        <v>46293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45562</v>
      </c>
      <c r="E842" s="1" t="n">
        <v>46293</v>
      </c>
      <c r="F842" t="inlineStr">
        <is>
          <t>KRONOBERGS LÄN</t>
        </is>
      </c>
      <c r="G842" t="inlineStr">
        <is>
          <t>TINGSRYD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32142-2024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45511</v>
      </c>
      <c r="E843" s="1" t="n">
        <v>46293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58819-2024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45636</v>
      </c>
      <c r="E844" s="1" t="n">
        <v>46293</v>
      </c>
      <c r="F844" t="inlineStr">
        <is>
          <t>KRONOBERGS LÄN</t>
        </is>
      </c>
      <c r="G844" t="inlineStr">
        <is>
          <t>TINGSRYD</t>
        </is>
      </c>
      <c r="H844" t="inlineStr">
        <is>
          <t>Övriga Aktiebolag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49965-2024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45597</v>
      </c>
      <c r="E845" s="1" t="n">
        <v>46293</v>
      </c>
      <c r="F845" t="inlineStr">
        <is>
          <t>KRONOBERGS LÄN</t>
        </is>
      </c>
      <c r="G845" t="inlineStr">
        <is>
          <t>TINGSRYD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34247-2024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45524</v>
      </c>
      <c r="E846" s="1" t="n">
        <v>46293</v>
      </c>
      <c r="F846" t="inlineStr">
        <is>
          <t>KRONOBERGS LÄN</t>
        </is>
      </c>
      <c r="G846" t="inlineStr">
        <is>
          <t>TINGSRYD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45576</v>
      </c>
      <c r="E847" s="1" t="n">
        <v>46293</v>
      </c>
      <c r="F847" t="inlineStr">
        <is>
          <t>KRONOBERGS LÄN</t>
        </is>
      </c>
      <c r="G847" t="inlineStr">
        <is>
          <t>TINGSRYD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42390-2024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45565</v>
      </c>
      <c r="E848" s="1" t="n">
        <v>46293</v>
      </c>
      <c r="F848" t="inlineStr">
        <is>
          <t>KRONOBERGS LÄN</t>
        </is>
      </c>
      <c r="G848" t="inlineStr">
        <is>
          <t>TINGSRYD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46293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46293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61851-2023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45266</v>
      </c>
      <c r="E851" s="1" t="n">
        <v>46293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22583-2025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45789</v>
      </c>
      <c r="E852" s="1" t="n">
        <v>46293</v>
      </c>
      <c r="F852" t="inlineStr">
        <is>
          <t>KRONOBERGS LÄN</t>
        </is>
      </c>
      <c r="G852" t="inlineStr">
        <is>
          <t>TINGSRYD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45712</v>
      </c>
      <c r="E853" s="1" t="n">
        <v>46293</v>
      </c>
      <c r="F853" t="inlineStr">
        <is>
          <t>KRONOBERGS LÄN</t>
        </is>
      </c>
      <c r="G853" t="inlineStr">
        <is>
          <t>TINGSRYD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7307-2024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45345</v>
      </c>
      <c r="E854" s="1" t="n">
        <v>46293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46293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45345</v>
      </c>
      <c r="E856" s="1" t="n">
        <v>46293</v>
      </c>
      <c r="F856" t="inlineStr">
        <is>
          <t>KRONOBERGS LÄN</t>
        </is>
      </c>
      <c r="G856" t="inlineStr">
        <is>
          <t>TINGSRYD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46293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3193-2022</t>
        </is>
      </c>
      <c r="B858" t="inlineStr">
        <is>
          <t>samrådsanmälan</t>
        </is>
      </c>
      <c r="C858" t="inlineStr">
        <is>
          <t>Åtgärd i nyckelbiotop</t>
        </is>
      </c>
      <c r="D858" s="1" t="n">
        <v>44722</v>
      </c>
      <c r="E858" s="1" t="n">
        <v>46293</v>
      </c>
      <c r="F858" t="inlineStr">
        <is>
          <t>KRONOBERGS LÄN</t>
        </is>
      </c>
      <c r="G858" t="inlineStr">
        <is>
          <t>TINGSRYD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46293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46293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46293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46293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46293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46293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6684-2022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44888</v>
      </c>
      <c r="E865" s="1" t="n">
        <v>46293</v>
      </c>
      <c r="F865" t="inlineStr">
        <is>
          <t>KRONOBERGS LÄN</t>
        </is>
      </c>
      <c r="G865" t="inlineStr">
        <is>
          <t>TINGSRYD</t>
        </is>
      </c>
      <c r="I865" t="n">
        <v>45.8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46293</v>
      </c>
      <c r="F866" t="inlineStr">
        <is>
          <t>KRONOBERGS LÄN</t>
        </is>
      </c>
      <c r="G866" t="inlineStr">
        <is>
          <t>TINGSRYD</t>
        </is>
      </c>
      <c r="I866" t="n">
        <v>71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46293</v>
      </c>
      <c r="F867" t="inlineStr">
        <is>
          <t>KRONOBERGS LÄN</t>
        </is>
      </c>
      <c r="G867" t="inlineStr">
        <is>
          <t>TINGSRYD</t>
        </is>
      </c>
      <c r="I867" t="n">
        <v>15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46293</v>
      </c>
      <c r="F868" t="inlineStr">
        <is>
          <t>KRONOBERGS LÄN</t>
        </is>
      </c>
      <c r="G868" t="inlineStr">
        <is>
          <t>TINGSRYD</t>
        </is>
      </c>
      <c r="I868" t="n">
        <v>37.8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1040-2024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45387</v>
      </c>
      <c r="E869" s="1" t="n">
        <v>46293</v>
      </c>
      <c r="F869" t="inlineStr">
        <is>
          <t>KRONOBERGS LÄN</t>
        </is>
      </c>
      <c r="G869" t="inlineStr">
        <is>
          <t>TINGSRYD</t>
        </is>
      </c>
      <c r="I869" t="n">
        <v>33.6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2531-2023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45128</v>
      </c>
      <c r="E870" s="1" t="n">
        <v>46293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1047-2024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46293</v>
      </c>
      <c r="F871" t="inlineStr">
        <is>
          <t>KRONOBERGS LÄN</t>
        </is>
      </c>
      <c r="G871" t="inlineStr">
        <is>
          <t>TINGSRYD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710-2024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45362</v>
      </c>
      <c r="E872" s="1" t="n">
        <v>46293</v>
      </c>
      <c r="F872" t="inlineStr">
        <is>
          <t>KRONOBERGS LÄN</t>
        </is>
      </c>
      <c r="G872" t="inlineStr">
        <is>
          <t>TINGSRYD</t>
        </is>
      </c>
      <c r="I872" t="n">
        <v>26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3395-2024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45534</v>
      </c>
      <c r="E873" s="1" t="n">
        <v>46293</v>
      </c>
      <c r="F873" t="inlineStr">
        <is>
          <t>KRONOBERGS LÄN</t>
        </is>
      </c>
      <c r="G873" t="inlineStr">
        <is>
          <t>TINGSRYD</t>
        </is>
      </c>
      <c r="I873" t="n">
        <v>36.4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6989-2022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44901</v>
      </c>
      <c r="E874" s="1" t="n">
        <v>46293</v>
      </c>
      <c r="F874" t="inlineStr">
        <is>
          <t>KRONOBERGS LÄN</t>
        </is>
      </c>
      <c r="G874" t="inlineStr">
        <is>
          <t>TINGSRYD</t>
        </is>
      </c>
      <c r="I874" t="n">
        <v>97.7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4636-2022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44792</v>
      </c>
      <c r="E875" s="1" t="n">
        <v>46293</v>
      </c>
      <c r="F875" t="inlineStr">
        <is>
          <t>KRONOBERGS LÄN</t>
        </is>
      </c>
      <c r="G875" t="inlineStr">
        <is>
          <t>TINGSRYD</t>
        </is>
      </c>
      <c r="H875" t="inlineStr">
        <is>
          <t>Kyrkan</t>
        </is>
      </c>
      <c r="I875" t="n">
        <v>51.2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709-2024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45362</v>
      </c>
      <c r="E876" s="1" t="n">
        <v>46293</v>
      </c>
      <c r="F876" t="inlineStr">
        <is>
          <t>KRONOBERGS LÄN</t>
        </is>
      </c>
      <c r="G876" t="inlineStr">
        <is>
          <t>TINGSRYD</t>
        </is>
      </c>
      <c r="I876" t="n">
        <v>81.7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363-2024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45330</v>
      </c>
      <c r="E877" s="1" t="n">
        <v>46293</v>
      </c>
      <c r="F877" t="inlineStr">
        <is>
          <t>KRONOBERGS LÄN</t>
        </is>
      </c>
      <c r="G877" t="inlineStr">
        <is>
          <t>TINGSRYD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6544-2022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44883</v>
      </c>
      <c r="E878" s="1" t="n">
        <v>46293</v>
      </c>
      <c r="F878" t="inlineStr">
        <is>
          <t>KRONOBERGS LÄN</t>
        </is>
      </c>
      <c r="G878" t="inlineStr">
        <is>
          <t>TINGSRYD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46293</v>
      </c>
      <c r="F879" t="inlineStr">
        <is>
          <t>KRONOBERGS LÄN</t>
        </is>
      </c>
      <c r="G879" t="inlineStr">
        <is>
          <t>TINGSRYD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70-2023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44928</v>
      </c>
      <c r="E880" s="1" t="n">
        <v>46293</v>
      </c>
      <c r="F880" t="inlineStr">
        <is>
          <t>KRONOBERGS LÄN</t>
        </is>
      </c>
      <c r="G880" t="inlineStr">
        <is>
          <t>TINGSRYD</t>
        </is>
      </c>
      <c r="I880" t="n">
        <v>25.4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2627-2024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45477</v>
      </c>
      <c r="E881" s="1" t="n">
        <v>46293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600-2023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44971</v>
      </c>
      <c r="E882" s="1" t="n">
        <v>46293</v>
      </c>
      <c r="F882" t="inlineStr">
        <is>
          <t>KRONOBERGS LÄN</t>
        </is>
      </c>
      <c r="G882" t="inlineStr">
        <is>
          <t>TINGSRYD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6948-2022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44900</v>
      </c>
      <c r="E883" s="1" t="n">
        <v>46293</v>
      </c>
      <c r="F883" t="inlineStr">
        <is>
          <t>KRONOBERGS LÄN</t>
        </is>
      </c>
      <c r="G883" t="inlineStr">
        <is>
          <t>TINGSRYD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602-2023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46293</v>
      </c>
      <c r="F884" t="inlineStr">
        <is>
          <t>KRONOBERGS LÄN</t>
        </is>
      </c>
      <c r="G884" t="inlineStr">
        <is>
          <t>TINGSRYD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3883-2023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45230</v>
      </c>
      <c r="E885" s="1" t="n">
        <v>46293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807-2025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45730</v>
      </c>
      <c r="E886" s="1" t="n">
        <v>46293</v>
      </c>
      <c r="F886" t="inlineStr">
        <is>
          <t>KRONOBERGS LÄN</t>
        </is>
      </c>
      <c r="G886" t="inlineStr">
        <is>
          <t>TINGSRYD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45665</v>
      </c>
      <c r="E887" s="1" t="n">
        <v>46293</v>
      </c>
      <c r="F887" t="inlineStr">
        <is>
          <t>KRONOBERGS LÄN</t>
        </is>
      </c>
      <c r="G887" t="inlineStr">
        <is>
          <t>TINGSRYD</t>
        </is>
      </c>
      <c r="I887" t="n">
        <v>12.5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759-2025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45727</v>
      </c>
      <c r="E888" s="1" t="n">
        <v>46293</v>
      </c>
      <c r="F888" t="inlineStr">
        <is>
          <t>KRONOBERGS LÄN</t>
        </is>
      </c>
      <c r="G888" t="inlineStr">
        <is>
          <t>TINGSRYD</t>
        </is>
      </c>
      <c r="I888" t="n">
        <v>38.5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46293</v>
      </c>
      <c r="F889" t="inlineStr">
        <is>
          <t>KRONOBERGS LÄN</t>
        </is>
      </c>
      <c r="G889" t="inlineStr">
        <is>
          <t>TINGSRYD</t>
        </is>
      </c>
      <c r="I889" t="n">
        <v>10.5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1718-2025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45807</v>
      </c>
      <c r="E890" s="1" t="n">
        <v>46293</v>
      </c>
      <c r="F890" t="inlineStr">
        <is>
          <t>KRONOBERGS LÄN</t>
        </is>
      </c>
      <c r="G890" t="inlineStr">
        <is>
          <t>TINGSRYD</t>
        </is>
      </c>
      <c r="I890" t="n">
        <v>23.5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1720-2025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46293</v>
      </c>
      <c r="F891" t="inlineStr">
        <is>
          <t>KRONOBERGS LÄN</t>
        </is>
      </c>
      <c r="G891" t="inlineStr">
        <is>
          <t>TINGSRYD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106-2026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46038</v>
      </c>
      <c r="E892" s="1" t="n">
        <v>46293</v>
      </c>
      <c r="F892" t="inlineStr">
        <is>
          <t>KRONOBERGS LÄN</t>
        </is>
      </c>
      <c r="G892" t="inlineStr">
        <is>
          <t>TINGSRYD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132-2026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46042</v>
      </c>
      <c r="E893" s="1" t="n">
        <v>46293</v>
      </c>
      <c r="F893" t="inlineStr">
        <is>
          <t>KRONOBERGS LÄN</t>
        </is>
      </c>
      <c r="G893" t="inlineStr">
        <is>
          <t>TINGSRYD</t>
        </is>
      </c>
      <c r="I893" t="n">
        <v>30.2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133-2026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46293</v>
      </c>
      <c r="F894" t="inlineStr">
        <is>
          <t>KRONOBERGS LÄN</t>
        </is>
      </c>
      <c r="G894" t="inlineStr">
        <is>
          <t>TINGSRYD</t>
        </is>
      </c>
      <c r="I894" t="n">
        <v>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131-2026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46293</v>
      </c>
      <c r="F895" t="inlineStr">
        <is>
          <t>KRONOBERGS LÄN</t>
        </is>
      </c>
      <c r="G895" t="inlineStr">
        <is>
          <t>TINGSRYD</t>
        </is>
      </c>
      <c r="I895" t="n">
        <v>35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134-2026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46293</v>
      </c>
      <c r="F896" t="inlineStr">
        <is>
          <t>KRONOBERGS LÄN</t>
        </is>
      </c>
      <c r="G896" t="inlineStr">
        <is>
          <t>TINGSRYD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175-2026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46045</v>
      </c>
      <c r="E897" s="1" t="n">
        <v>46293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1090-2026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46132</v>
      </c>
      <c r="E898" s="1" t="n">
        <v>46293</v>
      </c>
      <c r="F898" t="inlineStr">
        <is>
          <t>KRONOBERGS LÄN</t>
        </is>
      </c>
      <c r="G898" t="inlineStr">
        <is>
          <t>TINGSRYD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1660-2026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46181</v>
      </c>
      <c r="E899" s="1" t="n">
        <v>46293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1732-2026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46188</v>
      </c>
      <c r="E900" s="1" t="n">
        <v>46293</v>
      </c>
      <c r="F900" t="inlineStr">
        <is>
          <t>KRONOBERGS LÄN</t>
        </is>
      </c>
      <c r="G900" t="inlineStr">
        <is>
          <t>TINGSRYD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2046-2026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46213</v>
      </c>
      <c r="E901" s="1" t="n">
        <v>46293</v>
      </c>
      <c r="F901" t="inlineStr">
        <is>
          <t>KRONOBERGS LÄN</t>
        </is>
      </c>
      <c r="G901" t="inlineStr">
        <is>
          <t>TINGSRYD</t>
        </is>
      </c>
      <c r="I901" t="n">
        <v>87.5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2026-09-28T01:57:05Z</dcterms:created>
  <dcterms:modified xmlns:dcterms="http://purl.org/dc/terms/" xmlns:xsi="http://www.w3.org/2001/XMLSchema-instance" xsi:type="dcterms:W3CDTF">2026-09-28T01:57:06Z</dcterms:modified>
</cp:coreProperties>
</file>