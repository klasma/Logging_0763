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45735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45735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45735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45735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45735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45735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45735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45735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45735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22170-2019</t>
        </is>
      </c>
      <c r="B11" s="1" t="n">
        <v>43585</v>
      </c>
      <c r="C11" s="1" t="n">
        <v>45735</v>
      </c>
      <c r="D11" t="inlineStr">
        <is>
          <t>KRONOBERGS LÄN</t>
        </is>
      </c>
      <c r="E11" t="inlineStr">
        <is>
          <t>TINGSRYD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HYPERLINK("https://klasma.github.io/Logging_0763/artfynd/A 22170-2019 artfynd.xlsx", "A 22170-2019")</f>
        <v/>
      </c>
      <c r="T11">
        <f>HYPERLINK("https://klasma.github.io/Logging_0763/kartor/A 22170-2019 karta.png", "A 22170-2019")</f>
        <v/>
      </c>
      <c r="V11">
        <f>HYPERLINK("https://klasma.github.io/Logging_0763/klagomål/A 22170-2019 FSC-klagomål.docx", "A 22170-2019")</f>
        <v/>
      </c>
      <c r="W11">
        <f>HYPERLINK("https://klasma.github.io/Logging_0763/klagomålsmail/A 22170-2019 FSC-klagomål mail.docx", "A 22170-2019")</f>
        <v/>
      </c>
      <c r="X11">
        <f>HYPERLINK("https://klasma.github.io/Logging_0763/tillsyn/A 22170-2019 tillsynsbegäran.docx", "A 22170-2019")</f>
        <v/>
      </c>
      <c r="Y11">
        <f>HYPERLINK("https://klasma.github.io/Logging_0763/tillsynsmail/A 22170-2019 tillsynsbegäran mail.docx", "A 22170-2019")</f>
        <v/>
      </c>
    </row>
    <row r="12" ht="15" customHeight="1">
      <c r="A12" t="inlineStr">
        <is>
          <t>A 50912-2019</t>
        </is>
      </c>
      <c r="B12" s="1" t="n">
        <v>43738</v>
      </c>
      <c r="C12" s="1" t="n">
        <v>45735</v>
      </c>
      <c r="D12" t="inlineStr">
        <is>
          <t>KRONOBERGS LÄN</t>
        </is>
      </c>
      <c r="E12" t="inlineStr">
        <is>
          <t>TINGSRYD</t>
        </is>
      </c>
      <c r="G12" t="n">
        <v>14.4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HYPERLINK("https://klasma.github.io/Logging_0763/artfynd/A 50912-2019 artfynd.xlsx", "A 50912-2019")</f>
        <v/>
      </c>
      <c r="T12">
        <f>HYPERLINK("https://klasma.github.io/Logging_0763/kartor/A 50912-2019 karta.png", "A 50912-2019")</f>
        <v/>
      </c>
      <c r="V12">
        <f>HYPERLINK("https://klasma.github.io/Logging_0763/klagomål/A 50912-2019 FSC-klagomål.docx", "A 50912-2019")</f>
        <v/>
      </c>
      <c r="W12">
        <f>HYPERLINK("https://klasma.github.io/Logging_0763/klagomålsmail/A 50912-2019 FSC-klagomål mail.docx", "A 50912-2019")</f>
        <v/>
      </c>
      <c r="X12">
        <f>HYPERLINK("https://klasma.github.io/Logging_0763/tillsyn/A 50912-2019 tillsynsbegäran.docx", "A 50912-2019")</f>
        <v/>
      </c>
      <c r="Y12">
        <f>HYPERLINK("https://klasma.github.io/Logging_0763/tillsynsmail/A 50912-2019 tillsynsbegäran mail.docx", "A 50912-2019")</f>
        <v/>
      </c>
      <c r="Z12">
        <f>HYPERLINK("https://klasma.github.io/Logging_0763/fåglar/A 50912-2019 prioriterade fågelarter.docx", "A 50912-2019")</f>
        <v/>
      </c>
    </row>
    <row r="13" ht="15" customHeight="1">
      <c r="A13" t="inlineStr">
        <is>
          <t>A 4022-2020</t>
        </is>
      </c>
      <c r="B13" s="1" t="n">
        <v>43857</v>
      </c>
      <c r="C13" s="1" t="n">
        <v>45735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HYPERLINK("https://klasma.github.io/Logging_0763/artfynd/A 4022-2020 artfynd.xlsx", "A 4022-2020")</f>
        <v/>
      </c>
      <c r="T13">
        <f>HYPERLINK("https://klasma.github.io/Logging_0763/kartor/A 4022-2020 karta.png", "A 4022-2020")</f>
        <v/>
      </c>
      <c r="V13">
        <f>HYPERLINK("https://klasma.github.io/Logging_0763/klagomål/A 4022-2020 FSC-klagomål.docx", "A 4022-2020")</f>
        <v/>
      </c>
      <c r="W13">
        <f>HYPERLINK("https://klasma.github.io/Logging_0763/klagomålsmail/A 4022-2020 FSC-klagomål mail.docx", "A 4022-2020")</f>
        <v/>
      </c>
      <c r="X13">
        <f>HYPERLINK("https://klasma.github.io/Logging_0763/tillsyn/A 4022-2020 tillsynsbegäran.docx", "A 4022-2020")</f>
        <v/>
      </c>
      <c r="Y13">
        <f>HYPERLINK("https://klasma.github.io/Logging_0763/tillsynsmail/A 4022-2020 tillsynsbegäran mail.docx", "A 4022-2020")</f>
        <v/>
      </c>
    </row>
    <row r="14" ht="15" customHeight="1">
      <c r="A14" t="inlineStr">
        <is>
          <t>A 13774-2020</t>
        </is>
      </c>
      <c r="B14" s="1" t="n">
        <v>43903</v>
      </c>
      <c r="C14" s="1" t="n">
        <v>45735</v>
      </c>
      <c r="D14" t="inlineStr">
        <is>
          <t>KRONOBERGS LÄN</t>
        </is>
      </c>
      <c r="E14" t="inlineStr">
        <is>
          <t>TINGSRYD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13774-2020 artfynd.xlsx", "A 13774-2020")</f>
        <v/>
      </c>
      <c r="T14">
        <f>HYPERLINK("https://klasma.github.io/Logging_0763/kartor/A 13774-2020 karta.png", "A 13774-2020")</f>
        <v/>
      </c>
      <c r="V14">
        <f>HYPERLINK("https://klasma.github.io/Logging_0763/klagomål/A 13774-2020 FSC-klagomål.docx", "A 13774-2020")</f>
        <v/>
      </c>
      <c r="W14">
        <f>HYPERLINK("https://klasma.github.io/Logging_0763/klagomålsmail/A 13774-2020 FSC-klagomål mail.docx", "A 13774-2020")</f>
        <v/>
      </c>
      <c r="X14">
        <f>HYPERLINK("https://klasma.github.io/Logging_0763/tillsyn/A 13774-2020 tillsynsbegäran.docx", "A 13774-2020")</f>
        <v/>
      </c>
      <c r="Y14">
        <f>HYPERLINK("https://klasma.github.io/Logging_0763/tillsynsmail/A 13774-2020 tillsynsbegäran mail.docx", "A 13774-2020")</f>
        <v/>
      </c>
    </row>
    <row r="15" ht="15" customHeight="1">
      <c r="A15" t="inlineStr">
        <is>
          <t>A 47090-2020</t>
        </is>
      </c>
      <c r="B15" s="1" t="n">
        <v>44096</v>
      </c>
      <c r="C15" s="1" t="n">
        <v>45735</v>
      </c>
      <c r="D15" t="inlineStr">
        <is>
          <t>KRONOBERGS LÄN</t>
        </is>
      </c>
      <c r="E15" t="inlineStr">
        <is>
          <t>TINGSRYD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HYPERLINK("https://klasma.github.io/Logging_0763/artfynd/A 47090-2020 artfynd.xlsx", "A 47090-2020")</f>
        <v/>
      </c>
      <c r="T15">
        <f>HYPERLINK("https://klasma.github.io/Logging_0763/kartor/A 47090-2020 karta.png", "A 47090-2020")</f>
        <v/>
      </c>
      <c r="V15">
        <f>HYPERLINK("https://klasma.github.io/Logging_0763/klagomål/A 47090-2020 FSC-klagomål.docx", "A 47090-2020")</f>
        <v/>
      </c>
      <c r="W15">
        <f>HYPERLINK("https://klasma.github.io/Logging_0763/klagomålsmail/A 47090-2020 FSC-klagomål mail.docx", "A 47090-2020")</f>
        <v/>
      </c>
      <c r="X15">
        <f>HYPERLINK("https://klasma.github.io/Logging_0763/tillsyn/A 47090-2020 tillsynsbegäran.docx", "A 47090-2020")</f>
        <v/>
      </c>
      <c r="Y15">
        <f>HYPERLINK("https://klasma.github.io/Logging_0763/tillsynsmail/A 47090-2020 tillsynsbegäran mail.docx", "A 47090-2020")</f>
        <v/>
      </c>
    </row>
    <row r="16" ht="15" customHeight="1">
      <c r="A16" t="inlineStr">
        <is>
          <t>A 26440-2021</t>
        </is>
      </c>
      <c r="B16" s="1" t="n">
        <v>44348</v>
      </c>
      <c r="C16" s="1" t="n">
        <v>45735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HYPERLINK("https://klasma.github.io/Logging_0763/artfynd/A 26440-2021 artfynd.xlsx", "A 26440-2021")</f>
        <v/>
      </c>
      <c r="T16">
        <f>HYPERLINK("https://klasma.github.io/Logging_0763/kartor/A 26440-2021 karta.png", "A 26440-2021")</f>
        <v/>
      </c>
      <c r="V16">
        <f>HYPERLINK("https://klasma.github.io/Logging_0763/klagomål/A 26440-2021 FSC-klagomål.docx", "A 26440-2021")</f>
        <v/>
      </c>
      <c r="W16">
        <f>HYPERLINK("https://klasma.github.io/Logging_0763/klagomålsmail/A 26440-2021 FSC-klagomål mail.docx", "A 26440-2021")</f>
        <v/>
      </c>
      <c r="X16">
        <f>HYPERLINK("https://klasma.github.io/Logging_0763/tillsyn/A 26440-2021 tillsynsbegäran.docx", "A 26440-2021")</f>
        <v/>
      </c>
      <c r="Y16">
        <f>HYPERLINK("https://klasma.github.io/Logging_0763/tillsynsmail/A 26440-2021 tillsynsbegäran mail.docx", "A 26440-2021")</f>
        <v/>
      </c>
    </row>
    <row r="17" ht="15" customHeight="1">
      <c r="A17" t="inlineStr">
        <is>
          <t>A 58629-2021</t>
        </is>
      </c>
      <c r="B17" s="1" t="n">
        <v>44489</v>
      </c>
      <c r="C17" s="1" t="n">
        <v>45735</v>
      </c>
      <c r="D17" t="inlineStr">
        <is>
          <t>KRONOBERGS LÄN</t>
        </is>
      </c>
      <c r="E17" t="inlineStr">
        <is>
          <t>TINGSRYD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HYPERLINK("https://klasma.github.io/Logging_0763/artfynd/A 58629-2021 artfynd.xlsx", "A 58629-2021")</f>
        <v/>
      </c>
      <c r="T17">
        <f>HYPERLINK("https://klasma.github.io/Logging_0763/kartor/A 58629-2021 karta.png", "A 58629-2021")</f>
        <v/>
      </c>
      <c r="V17">
        <f>HYPERLINK("https://klasma.github.io/Logging_0763/klagomål/A 58629-2021 FSC-klagomål.docx", "A 58629-2021")</f>
        <v/>
      </c>
      <c r="W17">
        <f>HYPERLINK("https://klasma.github.io/Logging_0763/klagomålsmail/A 58629-2021 FSC-klagomål mail.docx", "A 58629-2021")</f>
        <v/>
      </c>
      <c r="X17">
        <f>HYPERLINK("https://klasma.github.io/Logging_0763/tillsyn/A 58629-2021 tillsynsbegäran.docx", "A 58629-2021")</f>
        <v/>
      </c>
      <c r="Y17">
        <f>HYPERLINK("https://klasma.github.io/Logging_0763/tillsynsmail/A 58629-2021 tillsynsbegäran mail.docx", "A 58629-2021")</f>
        <v/>
      </c>
    </row>
    <row r="18" ht="15" customHeight="1">
      <c r="A18" t="inlineStr">
        <is>
          <t>A 6134-2022</t>
        </is>
      </c>
      <c r="B18" s="1" t="n">
        <v>44599</v>
      </c>
      <c r="C18" s="1" t="n">
        <v>45735</v>
      </c>
      <c r="D18" t="inlineStr">
        <is>
          <t>KRONOBERGS LÄN</t>
        </is>
      </c>
      <c r="E18" t="inlineStr">
        <is>
          <t>TINGSRYD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HYPERLINK("https://klasma.github.io/Logging_0763/artfynd/A 6134-2022 artfynd.xlsx", "A 6134-2022")</f>
        <v/>
      </c>
      <c r="T18">
        <f>HYPERLINK("https://klasma.github.io/Logging_0763/kartor/A 6134-2022 karta.png", "A 6134-2022")</f>
        <v/>
      </c>
      <c r="U18">
        <f>HYPERLINK("https://klasma.github.io/Logging_0763/knärot/A 6134-2022 karta knärot.png", "A 6134-2022")</f>
        <v/>
      </c>
      <c r="V18">
        <f>HYPERLINK("https://klasma.github.io/Logging_0763/klagomål/A 6134-2022 FSC-klagomål.docx", "A 6134-2022")</f>
        <v/>
      </c>
      <c r="W18">
        <f>HYPERLINK("https://klasma.github.io/Logging_0763/klagomålsmail/A 6134-2022 FSC-klagomål mail.docx", "A 6134-2022")</f>
        <v/>
      </c>
      <c r="X18">
        <f>HYPERLINK("https://klasma.github.io/Logging_0763/tillsyn/A 6134-2022 tillsynsbegäran.docx", "A 6134-2022")</f>
        <v/>
      </c>
      <c r="Y18">
        <f>HYPERLINK("https://klasma.github.io/Logging_0763/tillsynsmail/A 6134-2022 tillsynsbegäran mail.docx", "A 6134-2022")</f>
        <v/>
      </c>
    </row>
    <row r="19" ht="15" customHeight="1">
      <c r="A19" t="inlineStr">
        <is>
          <t>A 43291-2022</t>
        </is>
      </c>
      <c r="B19" s="1" t="n">
        <v>44834</v>
      </c>
      <c r="C19" s="1" t="n">
        <v>45735</v>
      </c>
      <c r="D19" t="inlineStr">
        <is>
          <t>KRONOBERGS LÄN</t>
        </is>
      </c>
      <c r="E19" t="inlineStr">
        <is>
          <t>TINGSRYD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HYPERLINK("https://klasma.github.io/Logging_0763/artfynd/A 43291-2022 artfynd.xlsx", "A 43291-2022")</f>
        <v/>
      </c>
      <c r="T19">
        <f>HYPERLINK("https://klasma.github.io/Logging_0763/kartor/A 43291-2022 karta.png", "A 43291-2022")</f>
        <v/>
      </c>
      <c r="V19">
        <f>HYPERLINK("https://klasma.github.io/Logging_0763/klagomål/A 43291-2022 FSC-klagomål.docx", "A 43291-2022")</f>
        <v/>
      </c>
      <c r="W19">
        <f>HYPERLINK("https://klasma.github.io/Logging_0763/klagomålsmail/A 43291-2022 FSC-klagomål mail.docx", "A 43291-2022")</f>
        <v/>
      </c>
      <c r="X19">
        <f>HYPERLINK("https://klasma.github.io/Logging_0763/tillsyn/A 43291-2022 tillsynsbegäran.docx", "A 43291-2022")</f>
        <v/>
      </c>
      <c r="Y19">
        <f>HYPERLINK("https://klasma.github.io/Logging_0763/tillsynsmail/A 43291-2022 tillsynsbegäran mail.docx", "A 43291-2022")</f>
        <v/>
      </c>
    </row>
    <row r="20" ht="15" customHeight="1">
      <c r="A20" t="inlineStr">
        <is>
          <t>A 55924-2022</t>
        </is>
      </c>
      <c r="B20" s="1" t="n">
        <v>44886</v>
      </c>
      <c r="C20" s="1" t="n">
        <v>45735</v>
      </c>
      <c r="D20" t="inlineStr">
        <is>
          <t>KRONOBERGS LÄN</t>
        </is>
      </c>
      <c r="E20" t="inlineStr">
        <is>
          <t>TINGSRYD</t>
        </is>
      </c>
      <c r="F20" t="inlineStr">
        <is>
          <t>Kyrkan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55924-2022 artfynd.xlsx", "A 55924-2022")</f>
        <v/>
      </c>
      <c r="T20">
        <f>HYPERLINK("https://klasma.github.io/Logging_0763/kartor/A 55924-2022 karta.png", "A 55924-2022")</f>
        <v/>
      </c>
      <c r="V20">
        <f>HYPERLINK("https://klasma.github.io/Logging_0763/klagomål/A 55924-2022 FSC-klagomål.docx", "A 55924-2022")</f>
        <v/>
      </c>
      <c r="W20">
        <f>HYPERLINK("https://klasma.github.io/Logging_0763/klagomålsmail/A 55924-2022 FSC-klagomål mail.docx", "A 55924-2022")</f>
        <v/>
      </c>
      <c r="X20">
        <f>HYPERLINK("https://klasma.github.io/Logging_0763/tillsyn/A 55924-2022 tillsynsbegäran.docx", "A 55924-2022")</f>
        <v/>
      </c>
      <c r="Y20">
        <f>HYPERLINK("https://klasma.github.io/Logging_0763/tillsynsmail/A 55924-2022 tillsynsbegäran mail.docx", "A 55924-2022")</f>
        <v/>
      </c>
    </row>
    <row r="21" ht="15" customHeight="1">
      <c r="A21" t="inlineStr">
        <is>
          <t>A 9825-2023</t>
        </is>
      </c>
      <c r="B21" s="1" t="n">
        <v>44984</v>
      </c>
      <c r="C21" s="1" t="n">
        <v>45735</v>
      </c>
      <c r="D21" t="inlineStr">
        <is>
          <t>KRONOBERGS LÄN</t>
        </is>
      </c>
      <c r="E21" t="inlineStr">
        <is>
          <t>TINGSRYD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HYPERLINK("https://klasma.github.io/Logging_0763/artfynd/A 9825-2023 artfynd.xlsx", "A 9825-2023")</f>
        <v/>
      </c>
      <c r="T21">
        <f>HYPERLINK("https://klasma.github.io/Logging_0763/kartor/A 9825-2023 karta.png", "A 9825-2023")</f>
        <v/>
      </c>
      <c r="V21">
        <f>HYPERLINK("https://klasma.github.io/Logging_0763/klagomål/A 9825-2023 FSC-klagomål.docx", "A 9825-2023")</f>
        <v/>
      </c>
      <c r="W21">
        <f>HYPERLINK("https://klasma.github.io/Logging_0763/klagomålsmail/A 9825-2023 FSC-klagomål mail.docx", "A 9825-2023")</f>
        <v/>
      </c>
      <c r="X21">
        <f>HYPERLINK("https://klasma.github.io/Logging_0763/tillsyn/A 9825-2023 tillsynsbegäran.docx", "A 9825-2023")</f>
        <v/>
      </c>
      <c r="Y21">
        <f>HYPERLINK("https://klasma.github.io/Logging_0763/tillsynsmail/A 9825-2023 tillsynsbegäran mail.docx", "A 9825-2023")</f>
        <v/>
      </c>
    </row>
    <row r="22" ht="15" customHeight="1">
      <c r="A22" t="inlineStr">
        <is>
          <t>A 11270-2023</t>
        </is>
      </c>
      <c r="B22" s="1" t="n">
        <v>44992</v>
      </c>
      <c r="C22" s="1" t="n">
        <v>45735</v>
      </c>
      <c r="D22" t="inlineStr">
        <is>
          <t>KRONOBERGS LÄN</t>
        </is>
      </c>
      <c r="E22" t="inlineStr">
        <is>
          <t>TINGSRYD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Brunag</t>
        </is>
      </c>
      <c r="S22">
        <f>HYPERLINK("https://klasma.github.io/Logging_0763/artfynd/A 11270-2023 artfynd.xlsx", "A 11270-2023")</f>
        <v/>
      </c>
      <c r="T22">
        <f>HYPERLINK("https://klasma.github.io/Logging_0763/kartor/A 11270-2023 karta.png", "A 11270-2023")</f>
        <v/>
      </c>
      <c r="V22">
        <f>HYPERLINK("https://klasma.github.io/Logging_0763/klagomål/A 11270-2023 FSC-klagomål.docx", "A 11270-2023")</f>
        <v/>
      </c>
      <c r="W22">
        <f>HYPERLINK("https://klasma.github.io/Logging_0763/klagomålsmail/A 11270-2023 FSC-klagomål mail.docx", "A 11270-2023")</f>
        <v/>
      </c>
      <c r="X22">
        <f>HYPERLINK("https://klasma.github.io/Logging_0763/tillsyn/A 11270-2023 tillsynsbegäran.docx", "A 11270-2023")</f>
        <v/>
      </c>
      <c r="Y22">
        <f>HYPERLINK("https://klasma.github.io/Logging_0763/tillsynsmail/A 11270-2023 tillsynsbegäran mail.docx", "A 11270-2023")</f>
        <v/>
      </c>
    </row>
    <row r="23" ht="15" customHeight="1">
      <c r="A23" t="inlineStr">
        <is>
          <t>A 43004-2023</t>
        </is>
      </c>
      <c r="B23" s="1" t="n">
        <v>45182</v>
      </c>
      <c r="C23" s="1" t="n">
        <v>45735</v>
      </c>
      <c r="D23" t="inlineStr">
        <is>
          <t>KRONOBERGS LÄN</t>
        </is>
      </c>
      <c r="E23" t="inlineStr">
        <is>
          <t>TINGSRYD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HYPERLINK("https://klasma.github.io/Logging_0763/artfynd/A 43004-2023 artfynd.xlsx", "A 43004-2023")</f>
        <v/>
      </c>
      <c r="T23">
        <f>HYPERLINK("https://klasma.github.io/Logging_0763/kartor/A 43004-2023 karta.png", "A 43004-2023")</f>
        <v/>
      </c>
      <c r="V23">
        <f>HYPERLINK("https://klasma.github.io/Logging_0763/klagomål/A 43004-2023 FSC-klagomål.docx", "A 43004-2023")</f>
        <v/>
      </c>
      <c r="W23">
        <f>HYPERLINK("https://klasma.github.io/Logging_0763/klagomålsmail/A 43004-2023 FSC-klagomål mail.docx", "A 43004-2023")</f>
        <v/>
      </c>
      <c r="X23">
        <f>HYPERLINK("https://klasma.github.io/Logging_0763/tillsyn/A 43004-2023 tillsynsbegäran.docx", "A 43004-2023")</f>
        <v/>
      </c>
      <c r="Y23">
        <f>HYPERLINK("https://klasma.github.io/Logging_0763/tillsynsmail/A 43004-2023 tillsynsbegäran mail.docx", "A 43004-2023")</f>
        <v/>
      </c>
    </row>
    <row r="24" ht="15" customHeight="1">
      <c r="A24" t="inlineStr">
        <is>
          <t>A 61847-2023</t>
        </is>
      </c>
      <c r="B24" s="1" t="n">
        <v>45266</v>
      </c>
      <c r="C24" s="1" t="n">
        <v>45735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HYPERLINK("https://klasma.github.io/Logging_0763/artfynd/A 61847-2023 artfynd.xlsx", "A 61847-2023")</f>
        <v/>
      </c>
      <c r="T24">
        <f>HYPERLINK("https://klasma.github.io/Logging_0763/kartor/A 61847-2023 karta.png", "A 61847-2023")</f>
        <v/>
      </c>
      <c r="V24">
        <f>HYPERLINK("https://klasma.github.io/Logging_0763/klagomål/A 61847-2023 FSC-klagomål.docx", "A 61847-2023")</f>
        <v/>
      </c>
      <c r="W24">
        <f>HYPERLINK("https://klasma.github.io/Logging_0763/klagomålsmail/A 61847-2023 FSC-klagomål mail.docx", "A 61847-2023")</f>
        <v/>
      </c>
      <c r="X24">
        <f>HYPERLINK("https://klasma.github.io/Logging_0763/tillsyn/A 61847-2023 tillsynsbegäran.docx", "A 61847-2023")</f>
        <v/>
      </c>
      <c r="Y24">
        <f>HYPERLINK("https://klasma.github.io/Logging_0763/tillsynsmail/A 61847-2023 tillsynsbegäran mail.docx", "A 61847-2023")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45735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45735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8482-2024</t>
        </is>
      </c>
      <c r="B27" s="1" t="n">
        <v>45355</v>
      </c>
      <c r="C27" s="1" t="n">
        <v>45735</v>
      </c>
      <c r="D27" t="inlineStr">
        <is>
          <t>KRONOBERGS LÄN</t>
        </is>
      </c>
      <c r="E27" t="inlineStr">
        <is>
          <t>TINGSRYD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HYPERLINK("https://klasma.github.io/Logging_0763/artfynd/A 8482-2024 artfynd.xlsx", "A 8482-2024")</f>
        <v/>
      </c>
      <c r="T27">
        <f>HYPERLINK("https://klasma.github.io/Logging_0763/kartor/A 8482-2024 karta.png", "A 8482-2024")</f>
        <v/>
      </c>
      <c r="V27">
        <f>HYPERLINK("https://klasma.github.io/Logging_0763/klagomål/A 8482-2024 FSC-klagomål.docx", "A 8482-2024")</f>
        <v/>
      </c>
      <c r="W27">
        <f>HYPERLINK("https://klasma.github.io/Logging_0763/klagomålsmail/A 8482-2024 FSC-klagomål mail.docx", "A 8482-2024")</f>
        <v/>
      </c>
      <c r="X27">
        <f>HYPERLINK("https://klasma.github.io/Logging_0763/tillsyn/A 8482-2024 tillsynsbegäran.docx", "A 8482-2024")</f>
        <v/>
      </c>
      <c r="Y27">
        <f>HYPERLINK("https://klasma.github.io/Logging_0763/tillsynsmail/A 8482-2024 tillsynsbegäran mail.docx", "A 8482-2024")</f>
        <v/>
      </c>
    </row>
    <row r="28" ht="15" customHeight="1">
      <c r="A28" t="inlineStr">
        <is>
          <t>A 8780-2024</t>
        </is>
      </c>
      <c r="B28" s="1" t="n">
        <v>45356</v>
      </c>
      <c r="C28" s="1" t="n">
        <v>45735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Kornknutmossa</t>
        </is>
      </c>
      <c r="S28">
        <f>HYPERLINK("https://klasma.github.io/Logging_0763/artfynd/A 8780-2024 artfynd.xlsx", "A 8780-2024")</f>
        <v/>
      </c>
      <c r="T28">
        <f>HYPERLINK("https://klasma.github.io/Logging_0763/kartor/A 8780-2024 karta.png", "A 8780-2024")</f>
        <v/>
      </c>
      <c r="V28">
        <f>HYPERLINK("https://klasma.github.io/Logging_0763/klagomål/A 8780-2024 FSC-klagomål.docx", "A 8780-2024")</f>
        <v/>
      </c>
      <c r="W28">
        <f>HYPERLINK("https://klasma.github.io/Logging_0763/klagomålsmail/A 8780-2024 FSC-klagomål mail.docx", "A 8780-2024")</f>
        <v/>
      </c>
      <c r="X28">
        <f>HYPERLINK("https://klasma.github.io/Logging_0763/tillsyn/A 8780-2024 tillsynsbegäran.docx", "A 8780-2024")</f>
        <v/>
      </c>
      <c r="Y28">
        <f>HYPERLINK("https://klasma.github.io/Logging_0763/tillsynsmail/A 8780-2024 tillsynsbegäran mail.docx", "A 8780-2024")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45735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45735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45735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45735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45735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45735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45735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45735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45735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45735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45735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45735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45735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45735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45735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45735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45735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45735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45735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45735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45735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45735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45735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45735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45735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45735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45735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45735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45735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45735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45735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45735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45735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45735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45735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45735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45735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45735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45735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45735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45735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45735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45735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45735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45735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45735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45735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45735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45735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45735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45735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45735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45735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45735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45735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45735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45735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45735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45735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45735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45735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45735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45735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45735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45735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45735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45735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45735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45735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45735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45735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45735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45735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45735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45735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45735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45735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45735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45735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45735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45735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45735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45735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45735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45735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45735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45735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45735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45735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45735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45735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45735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45735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45735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45735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45735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45735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45735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45735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45735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45735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45735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45735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45735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45735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45735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45735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45735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45735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45735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45735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45735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45735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45735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45735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45735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45735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45735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45735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45735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45735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45735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45735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45735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45735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45735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45735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45735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45735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45735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45735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45735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45735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45735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45735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45735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45735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45735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45735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45735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45735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45735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45735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45735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45735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45735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45735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45735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45735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45735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45735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45735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45735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45735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45735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45735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45735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45735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45735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45735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45735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45735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45735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45735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45735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45735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45735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45735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45735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45735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45735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45735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45735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45735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45735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45735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45735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45735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45735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45735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45735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45735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45735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45735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45735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45735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45735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45735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45735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45735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45735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45735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45735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45735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45735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45735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45735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45735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45735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45735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45735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45735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45735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45735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45735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45735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45735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45735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45735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45735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45735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45735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45735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45735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45735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45735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45735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45735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45735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45735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45735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45735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45735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45735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45735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45735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45735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45735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45735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45735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45735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45735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45735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45735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45735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45735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45735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45735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45735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45735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45735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45735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45735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45735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45735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45735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45735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45735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45735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45735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45735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45735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45735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45735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45735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45735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45735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45735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45735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45735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45735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45735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45735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45735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45735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45735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45735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45735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45735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45735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45735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45735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45735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45735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45735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45735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45735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45735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45735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45735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45735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45735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45735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45735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45735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45735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45735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45735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45735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45735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45735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45735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45735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45735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45735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45735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45735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45735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45735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45735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45735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45735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45735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45735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45735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45735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45735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45735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45735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45735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45735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45735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45735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45735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45735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45735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45735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45735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45735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45735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45735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45735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45735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45735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45735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45735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45735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45735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45735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45735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45735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45735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45735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45735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45735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45735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45735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45735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45735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45735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45735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45735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45735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45735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45735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45735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45735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45735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45735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45735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45735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45735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45735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45735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45735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45735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45735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45735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45735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45735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45735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45735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45735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45735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45735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45735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45735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45735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45735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45735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45735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45735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45735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45735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45735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45735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45735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45735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45735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45735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45735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45735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45735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45735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45735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45735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45735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45735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45735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45735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45735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45735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45735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45735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45735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45735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45735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45735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45735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45735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45735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45735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45735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45735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45735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45735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45735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45735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45735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45735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45735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45735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45735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45735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45735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45735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45735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45735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45735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45735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45735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45735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45735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45735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45735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45735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45735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45735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45735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45735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45735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45735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45735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45735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45735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45735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45735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45735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45735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45735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45735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45735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45735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45735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45735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45735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45735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45735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45735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45735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45735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45735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45735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45735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45735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45735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45735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45735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45735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45735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45735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45735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45735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45735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45735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45735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45735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45735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45735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45735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45735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45735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45735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45735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45735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45735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45735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45735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45735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45735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45735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45735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45735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45735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45735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45735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45735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45735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45735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45735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45735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45735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45735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45735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45735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45735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45735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45735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45735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45735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45735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45735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45735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45735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45735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45735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45735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45735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45735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45735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45735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45735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45735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45735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45735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45735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45735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45735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45735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45735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45735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45735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45735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45735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45735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45735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45735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45735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45735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45735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45735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45735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45735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45735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45735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45735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45735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45735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45735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45735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45735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45735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45735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45735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45735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45735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45735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45735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45735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45735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45735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45735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45735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45735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45735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45735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45735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45735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45735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45735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45735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45735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45735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45735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45735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45735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45735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45735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45735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45735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45735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45735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45735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45735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45735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45735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45735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45735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45735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45735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45735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45735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45735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45735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45735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45735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45735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45735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45735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45735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45735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45735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45735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45735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45735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45735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45735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45735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45735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45735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45735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45735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45735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45735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45735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45735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45735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45735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45735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45735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45735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45735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45735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45735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45735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45735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45735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45735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45735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45735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45735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45735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45735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45735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45735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45735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45735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45735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45735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45735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45735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45735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45735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45735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45735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45735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45735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45735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45735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45735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45735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45735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45735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45735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45735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45735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45735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45735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45735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45735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45735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45735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45735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45735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45735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45735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45735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45735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45735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45735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45735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45735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45735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45735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45735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45735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45735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45735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45735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45735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45735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45735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45735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45735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45735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45735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45735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45735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45735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45735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45735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45735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45735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45735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45735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45735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45735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45735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45735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45735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45735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45735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45735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45735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45735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45735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45735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45735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45735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45735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45735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45735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45735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45735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45735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45735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45735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45735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45735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45735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45735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45735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45735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45735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45735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45735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45735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45735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45735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45735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45735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45735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45735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45735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45735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45735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45735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45735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45735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45735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45735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45735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45735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45735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45735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45735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45735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45735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45735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45735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45735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45735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45735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45735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45735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45735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45735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45735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45735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45735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45735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45735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45735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45735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45735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45735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45735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45735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45735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45735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45735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45735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45735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45735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45735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45735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45735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45735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45735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45735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45735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45735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45735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45735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45735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45735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45735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45735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45735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45735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45735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45735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45735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45735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45735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45735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45735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45735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45735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45735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45735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45735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45735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45735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45735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45735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45735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45735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45735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45735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45735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45735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45735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45735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45735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45735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45735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45735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45735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45735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45735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45735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45735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45735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45735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45735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45735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45735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45735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45735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45735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45735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45735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45735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45735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45735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45735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45735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45735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45735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45735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45735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45735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45735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45735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45735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45735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45735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45735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45735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45735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45735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45735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45735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45735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45735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45735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45735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45735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45735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45735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45735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45735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45735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45735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45735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45735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45735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45735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45735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45735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45735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45735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45735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45735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45735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45735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45735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45735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45735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45735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45735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45735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45735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45735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45735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45735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45735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45735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45735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45735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45735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45735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45735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45735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45735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45735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45735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45735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45735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45735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45735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45735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45735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45735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45735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45735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45735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45735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45735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45735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45735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45735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45735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45735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45735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45735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45735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45735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45735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45735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45735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45735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45735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45735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45735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45735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45735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45735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45735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45735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45735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45735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45735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45735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45735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45735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45735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45735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45735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45735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45735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45735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45735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45735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45735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45735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45735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45735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45735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45735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45735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45735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45735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45735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45735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45735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45735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45735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45735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45735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45735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45735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45735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45735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45735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45735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45735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45735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45735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45735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45735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45735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45735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45735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45735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45735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45735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45735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45735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45735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45735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45735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45735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45735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45735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45735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45735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45735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45735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45735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45735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45735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45735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45735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45735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45735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45735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45735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45735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45735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45735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45735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45735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45735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45735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45735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45735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45735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45735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45735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45735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45735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45735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45735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45735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45735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45735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45735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45735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45735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45735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45735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27307-2023</t>
        </is>
      </c>
      <c r="B1042" s="1" t="n">
        <v>45096</v>
      </c>
      <c r="C1042" s="1" t="n">
        <v>45735</v>
      </c>
      <c r="D1042" t="inlineStr">
        <is>
          <t>KRONOBERGS LÄN</t>
        </is>
      </c>
      <c r="E1042" t="inlineStr">
        <is>
          <t>TINGSRYD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27273-2023</t>
        </is>
      </c>
      <c r="B1043" s="1" t="n">
        <v>45096</v>
      </c>
      <c r="C1043" s="1" t="n">
        <v>45735</v>
      </c>
      <c r="D1043" t="inlineStr">
        <is>
          <t>KRONOBERGS LÄN</t>
        </is>
      </c>
      <c r="E1043" t="inlineStr">
        <is>
          <t>TINGSRYD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27300-2023</t>
        </is>
      </c>
      <c r="B1044" s="1" t="n">
        <v>45096</v>
      </c>
      <c r="C1044" s="1" t="n">
        <v>45735</v>
      </c>
      <c r="D1044" t="inlineStr">
        <is>
          <t>KRONOBERGS LÄN</t>
        </is>
      </c>
      <c r="E1044" t="inlineStr">
        <is>
          <t>TINGSRYD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27532-2023</t>
        </is>
      </c>
      <c r="B1045" s="1" t="n">
        <v>45097</v>
      </c>
      <c r="C1045" s="1" t="n">
        <v>45735</v>
      </c>
      <c r="D1045" t="inlineStr">
        <is>
          <t>KRONOBERGS LÄN</t>
        </is>
      </c>
      <c r="E1045" t="inlineStr">
        <is>
          <t>TINGSRYD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27570-2023</t>
        </is>
      </c>
      <c r="B1046" s="1" t="n">
        <v>45097</v>
      </c>
      <c r="C1046" s="1" t="n">
        <v>45735</v>
      </c>
      <c r="D1046" t="inlineStr">
        <is>
          <t>KRONOBERGS LÄN</t>
        </is>
      </c>
      <c r="E1046" t="inlineStr">
        <is>
          <t>TINGSRYD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27413-2023</t>
        </is>
      </c>
      <c r="B1047" s="1" t="n">
        <v>45097</v>
      </c>
      <c r="C1047" s="1" t="n">
        <v>45735</v>
      </c>
      <c r="D1047" t="inlineStr">
        <is>
          <t>KRONOBERGS LÄN</t>
        </is>
      </c>
      <c r="E1047" t="inlineStr">
        <is>
          <t>TINGSRYD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27545-2023</t>
        </is>
      </c>
      <c r="B1048" s="1" t="n">
        <v>45097</v>
      </c>
      <c r="C1048" s="1" t="n">
        <v>45735</v>
      </c>
      <c r="D1048" t="inlineStr">
        <is>
          <t>KRONOBERGS LÄN</t>
        </is>
      </c>
      <c r="E1048" t="inlineStr">
        <is>
          <t>TINGSRYD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29140-2023</t>
        </is>
      </c>
      <c r="B1049" s="1" t="n">
        <v>45097</v>
      </c>
      <c r="C1049" s="1" t="n">
        <v>45735</v>
      </c>
      <c r="D1049" t="inlineStr">
        <is>
          <t>KRONOBERGS LÄN</t>
        </is>
      </c>
      <c r="E1049" t="inlineStr">
        <is>
          <t>TINGSRYD</t>
        </is>
      </c>
      <c r="F1049" t="inlineStr">
        <is>
          <t>Kyrkan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29179-2023</t>
        </is>
      </c>
      <c r="B1050" s="1" t="n">
        <v>45097</v>
      </c>
      <c r="C1050" s="1" t="n">
        <v>45735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8.1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28176-2023</t>
        </is>
      </c>
      <c r="B1051" s="1" t="n">
        <v>45099</v>
      </c>
      <c r="C1051" s="1" t="n">
        <v>45735</v>
      </c>
      <c r="D1051" t="inlineStr">
        <is>
          <t>KRONOBERGS LÄN</t>
        </is>
      </c>
      <c r="E1051" t="inlineStr">
        <is>
          <t>TINGSRYD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28547-2023</t>
        </is>
      </c>
      <c r="B1052" s="1" t="n">
        <v>45103</v>
      </c>
      <c r="C1052" s="1" t="n">
        <v>45735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Kommuner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28640-2023</t>
        </is>
      </c>
      <c r="B1053" s="1" t="n">
        <v>45103</v>
      </c>
      <c r="C1053" s="1" t="n">
        <v>45735</v>
      </c>
      <c r="D1053" t="inlineStr">
        <is>
          <t>KRONOBERGS LÄN</t>
        </is>
      </c>
      <c r="E1053" t="inlineStr">
        <is>
          <t>TINGSRYD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28729-2023</t>
        </is>
      </c>
      <c r="B1054" s="1" t="n">
        <v>45103</v>
      </c>
      <c r="C1054" s="1" t="n">
        <v>45735</v>
      </c>
      <c r="D1054" t="inlineStr">
        <is>
          <t>KRONOBERGS LÄN</t>
        </is>
      </c>
      <c r="E1054" t="inlineStr">
        <is>
          <t>TINGSRYD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28924-2023</t>
        </is>
      </c>
      <c r="B1055" s="1" t="n">
        <v>45104</v>
      </c>
      <c r="C1055" s="1" t="n">
        <v>45735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29135-2023</t>
        </is>
      </c>
      <c r="B1056" s="1" t="n">
        <v>45105</v>
      </c>
      <c r="C1056" s="1" t="n">
        <v>45735</v>
      </c>
      <c r="D1056" t="inlineStr">
        <is>
          <t>KRONOBERGS LÄN</t>
        </is>
      </c>
      <c r="E1056" t="inlineStr">
        <is>
          <t>TINGSRYD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29278-2023</t>
        </is>
      </c>
      <c r="B1057" s="1" t="n">
        <v>45105</v>
      </c>
      <c r="C1057" s="1" t="n">
        <v>45735</v>
      </c>
      <c r="D1057" t="inlineStr">
        <is>
          <t>KRONOBERGS LÄN</t>
        </is>
      </c>
      <c r="E1057" t="inlineStr">
        <is>
          <t>TINGSRYD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29354-2023</t>
        </is>
      </c>
      <c r="B1058" s="1" t="n">
        <v>45106</v>
      </c>
      <c r="C1058" s="1" t="n">
        <v>45735</v>
      </c>
      <c r="D1058" t="inlineStr">
        <is>
          <t>KRONOBERGS LÄN</t>
        </is>
      </c>
      <c r="E1058" t="inlineStr">
        <is>
          <t>TINGSRYD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29475-2023</t>
        </is>
      </c>
      <c r="B1059" s="1" t="n">
        <v>45106</v>
      </c>
      <c r="C1059" s="1" t="n">
        <v>45735</v>
      </c>
      <c r="D1059" t="inlineStr">
        <is>
          <t>KRONOBERGS LÄN</t>
        </is>
      </c>
      <c r="E1059" t="inlineStr">
        <is>
          <t>TINGSRYD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29584-2023</t>
        </is>
      </c>
      <c r="B1060" s="1" t="n">
        <v>45106</v>
      </c>
      <c r="C1060" s="1" t="n">
        <v>45735</v>
      </c>
      <c r="D1060" t="inlineStr">
        <is>
          <t>KRONOBERGS LÄN</t>
        </is>
      </c>
      <c r="E1060" t="inlineStr">
        <is>
          <t>TINGSRYD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29588-2023</t>
        </is>
      </c>
      <c r="B1061" s="1" t="n">
        <v>45106</v>
      </c>
      <c r="C1061" s="1" t="n">
        <v>45735</v>
      </c>
      <c r="D1061" t="inlineStr">
        <is>
          <t>KRONOBERGS LÄN</t>
        </is>
      </c>
      <c r="E1061" t="inlineStr">
        <is>
          <t>TINGSRYD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29667-2023</t>
        </is>
      </c>
      <c r="B1062" s="1" t="n">
        <v>45107</v>
      </c>
      <c r="C1062" s="1" t="n">
        <v>45735</v>
      </c>
      <c r="D1062" t="inlineStr">
        <is>
          <t>KRONOBERGS LÄN</t>
        </is>
      </c>
      <c r="E1062" t="inlineStr">
        <is>
          <t>TINGSRYD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29738-2023</t>
        </is>
      </c>
      <c r="B1063" s="1" t="n">
        <v>45107</v>
      </c>
      <c r="C1063" s="1" t="n">
        <v>45735</v>
      </c>
      <c r="D1063" t="inlineStr">
        <is>
          <t>KRONOBERGS LÄN</t>
        </is>
      </c>
      <c r="E1063" t="inlineStr">
        <is>
          <t>TINGSRYD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29661-2023</t>
        </is>
      </c>
      <c r="B1064" s="1" t="n">
        <v>45107</v>
      </c>
      <c r="C1064" s="1" t="n">
        <v>45735</v>
      </c>
      <c r="D1064" t="inlineStr">
        <is>
          <t>KRONOBERGS LÄN</t>
        </is>
      </c>
      <c r="E1064" t="inlineStr">
        <is>
          <t>TINGSRYD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29895-2023</t>
        </is>
      </c>
      <c r="B1065" s="1" t="n">
        <v>45107</v>
      </c>
      <c r="C1065" s="1" t="n">
        <v>45735</v>
      </c>
      <c r="D1065" t="inlineStr">
        <is>
          <t>KRONOBERGS LÄN</t>
        </is>
      </c>
      <c r="E1065" t="inlineStr">
        <is>
          <t>TINGSRYD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29706-2023</t>
        </is>
      </c>
      <c r="B1066" s="1" t="n">
        <v>45107</v>
      </c>
      <c r="C1066" s="1" t="n">
        <v>45735</v>
      </c>
      <c r="D1066" t="inlineStr">
        <is>
          <t>KRONOBERGS LÄN</t>
        </is>
      </c>
      <c r="E1066" t="inlineStr">
        <is>
          <t>TINGSRYD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29734-2023</t>
        </is>
      </c>
      <c r="B1067" s="1" t="n">
        <v>45107</v>
      </c>
      <c r="C1067" s="1" t="n">
        <v>45735</v>
      </c>
      <c r="D1067" t="inlineStr">
        <is>
          <t>KRONOBERGS LÄN</t>
        </is>
      </c>
      <c r="E1067" t="inlineStr">
        <is>
          <t>TINGSRYD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29739-2023</t>
        </is>
      </c>
      <c r="B1068" s="1" t="n">
        <v>45107</v>
      </c>
      <c r="C1068" s="1" t="n">
        <v>45735</v>
      </c>
      <c r="D1068" t="inlineStr">
        <is>
          <t>KRONOBERGS LÄN</t>
        </is>
      </c>
      <c r="E1068" t="inlineStr">
        <is>
          <t>TINGSRYD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29793-2023</t>
        </is>
      </c>
      <c r="B1069" s="1" t="n">
        <v>45107</v>
      </c>
      <c r="C1069" s="1" t="n">
        <v>45735</v>
      </c>
      <c r="D1069" t="inlineStr">
        <is>
          <t>KRONOBERGS LÄN</t>
        </is>
      </c>
      <c r="E1069" t="inlineStr">
        <is>
          <t>TINGSRYD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29898-2023</t>
        </is>
      </c>
      <c r="B1070" s="1" t="n">
        <v>45107</v>
      </c>
      <c r="C1070" s="1" t="n">
        <v>45735</v>
      </c>
      <c r="D1070" t="inlineStr">
        <is>
          <t>KRONOBERGS LÄN</t>
        </is>
      </c>
      <c r="E1070" t="inlineStr">
        <is>
          <t>TINGSRYD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30008-2023</t>
        </is>
      </c>
      <c r="B1071" s="1" t="n">
        <v>45109</v>
      </c>
      <c r="C1071" s="1" t="n">
        <v>45735</v>
      </c>
      <c r="D1071" t="inlineStr">
        <is>
          <t>KRONOBERGS LÄN</t>
        </is>
      </c>
      <c r="E1071" t="inlineStr">
        <is>
          <t>TINGSRYD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30012-2023</t>
        </is>
      </c>
      <c r="B1072" s="1" t="n">
        <v>45109</v>
      </c>
      <c r="C1072" s="1" t="n">
        <v>45735</v>
      </c>
      <c r="D1072" t="inlineStr">
        <is>
          <t>KRONOBERGS LÄN</t>
        </is>
      </c>
      <c r="E1072" t="inlineStr">
        <is>
          <t>TINGSRYD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30016-2023</t>
        </is>
      </c>
      <c r="B1073" s="1" t="n">
        <v>45109</v>
      </c>
      <c r="C1073" s="1" t="n">
        <v>45735</v>
      </c>
      <c r="D1073" t="inlineStr">
        <is>
          <t>KRONOBERGS LÄN</t>
        </is>
      </c>
      <c r="E1073" t="inlineStr">
        <is>
          <t>TINGSRYD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30044-2023</t>
        </is>
      </c>
      <c r="B1074" s="1" t="n">
        <v>45110</v>
      </c>
      <c r="C1074" s="1" t="n">
        <v>45735</v>
      </c>
      <c r="D1074" t="inlineStr">
        <is>
          <t>KRONOBERGS LÄN</t>
        </is>
      </c>
      <c r="E1074" t="inlineStr">
        <is>
          <t>TINGSRYD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30056-2023</t>
        </is>
      </c>
      <c r="B1075" s="1" t="n">
        <v>45110</v>
      </c>
      <c r="C1075" s="1" t="n">
        <v>45735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30064-2023</t>
        </is>
      </c>
      <c r="B1076" s="1" t="n">
        <v>45110</v>
      </c>
      <c r="C1076" s="1" t="n">
        <v>45735</v>
      </c>
      <c r="D1076" t="inlineStr">
        <is>
          <t>KRONOBERGS LÄN</t>
        </is>
      </c>
      <c r="E1076" t="inlineStr">
        <is>
          <t>TINGSRYD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30147-2023</t>
        </is>
      </c>
      <c r="B1077" s="1" t="n">
        <v>45110</v>
      </c>
      <c r="C1077" s="1" t="n">
        <v>45735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30678-2023</t>
        </is>
      </c>
      <c r="B1078" s="1" t="n">
        <v>45112</v>
      </c>
      <c r="C1078" s="1" t="n">
        <v>45735</v>
      </c>
      <c r="D1078" t="inlineStr">
        <is>
          <t>KRONOBERGS LÄN</t>
        </is>
      </c>
      <c r="E1078" t="inlineStr">
        <is>
          <t>TINGSRYD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30903-2023</t>
        </is>
      </c>
      <c r="B1079" s="1" t="n">
        <v>45113</v>
      </c>
      <c r="C1079" s="1" t="n">
        <v>45735</v>
      </c>
      <c r="D1079" t="inlineStr">
        <is>
          <t>KRONOBERGS LÄN</t>
        </is>
      </c>
      <c r="E1079" t="inlineStr">
        <is>
          <t>TINGSRYD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30918-2023</t>
        </is>
      </c>
      <c r="B1080" s="1" t="n">
        <v>45113</v>
      </c>
      <c r="C1080" s="1" t="n">
        <v>45735</v>
      </c>
      <c r="D1080" t="inlineStr">
        <is>
          <t>KRONOBERGS LÄN</t>
        </is>
      </c>
      <c r="E1080" t="inlineStr">
        <is>
          <t>TINGSRYD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31514-2023</t>
        </is>
      </c>
      <c r="B1081" s="1" t="n">
        <v>45116</v>
      </c>
      <c r="C1081" s="1" t="n">
        <v>45735</v>
      </c>
      <c r="D1081" t="inlineStr">
        <is>
          <t>KRONOBERGS LÄN</t>
        </is>
      </c>
      <c r="E1081" t="inlineStr">
        <is>
          <t>TINGSRYD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33351-2023</t>
        </is>
      </c>
      <c r="B1082" s="1" t="n">
        <v>45117</v>
      </c>
      <c r="C1082" s="1" t="n">
        <v>45735</v>
      </c>
      <c r="D1082" t="inlineStr">
        <is>
          <t>KRONOBERGS LÄN</t>
        </is>
      </c>
      <c r="E1082" t="inlineStr">
        <is>
          <t>TINGSRYD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33360-2023</t>
        </is>
      </c>
      <c r="B1083" s="1" t="n">
        <v>45117</v>
      </c>
      <c r="C1083" s="1" t="n">
        <v>45735</v>
      </c>
      <c r="D1083" t="inlineStr">
        <is>
          <t>KRONOBERGS LÄN</t>
        </is>
      </c>
      <c r="E1083" t="inlineStr">
        <is>
          <t>TINGSRYD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33352-2023</t>
        </is>
      </c>
      <c r="B1084" s="1" t="n">
        <v>45117</v>
      </c>
      <c r="C1084" s="1" t="n">
        <v>45735</v>
      </c>
      <c r="D1084" t="inlineStr">
        <is>
          <t>KRONOBERGS LÄN</t>
        </is>
      </c>
      <c r="E1084" t="inlineStr">
        <is>
          <t>TINGSRYD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33365-2023</t>
        </is>
      </c>
      <c r="B1085" s="1" t="n">
        <v>45117</v>
      </c>
      <c r="C1085" s="1" t="n">
        <v>45735</v>
      </c>
      <c r="D1085" t="inlineStr">
        <is>
          <t>KRONOBERGS LÄN</t>
        </is>
      </c>
      <c r="E1085" t="inlineStr">
        <is>
          <t>TINGSRYD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33355-2023</t>
        </is>
      </c>
      <c r="B1086" s="1" t="n">
        <v>45117</v>
      </c>
      <c r="C1086" s="1" t="n">
        <v>45735</v>
      </c>
      <c r="D1086" t="inlineStr">
        <is>
          <t>KRONOBERGS LÄN</t>
        </is>
      </c>
      <c r="E1086" t="inlineStr">
        <is>
          <t>TINGSRYD</t>
        </is>
      </c>
      <c r="G1086" t="n">
        <v>8.800000000000001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33354-2023</t>
        </is>
      </c>
      <c r="B1087" s="1" t="n">
        <v>45117</v>
      </c>
      <c r="C1087" s="1" t="n">
        <v>45735</v>
      </c>
      <c r="D1087" t="inlineStr">
        <is>
          <t>KRONOBERGS LÄN</t>
        </is>
      </c>
      <c r="E1087" t="inlineStr">
        <is>
          <t>TINGSRYD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31771-2023</t>
        </is>
      </c>
      <c r="B1088" s="1" t="n">
        <v>45118</v>
      </c>
      <c r="C1088" s="1" t="n">
        <v>45735</v>
      </c>
      <c r="D1088" t="inlineStr">
        <is>
          <t>KRONOBERGS LÄN</t>
        </is>
      </c>
      <c r="E1088" t="inlineStr">
        <is>
          <t>TINGSRYD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32016-2023</t>
        </is>
      </c>
      <c r="B1089" s="1" t="n">
        <v>45119</v>
      </c>
      <c r="C1089" s="1" t="n">
        <v>45735</v>
      </c>
      <c r="D1089" t="inlineStr">
        <is>
          <t>KRONOBERGS LÄN</t>
        </is>
      </c>
      <c r="E1089" t="inlineStr">
        <is>
          <t>TINGSRYD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32523-2023</t>
        </is>
      </c>
      <c r="B1090" s="1" t="n">
        <v>45121</v>
      </c>
      <c r="C1090" s="1" t="n">
        <v>45735</v>
      </c>
      <c r="D1090" t="inlineStr">
        <is>
          <t>KRONOBERGS LÄN</t>
        </is>
      </c>
      <c r="E1090" t="inlineStr">
        <is>
          <t>TINGSRYD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32810-2023</t>
        </is>
      </c>
      <c r="B1091" s="1" t="n">
        <v>45124</v>
      </c>
      <c r="C1091" s="1" t="n">
        <v>45735</v>
      </c>
      <c r="D1091" t="inlineStr">
        <is>
          <t>KRONOBERGS LÄN</t>
        </is>
      </c>
      <c r="E1091" t="inlineStr">
        <is>
          <t>TINGSRYD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33437-2023</t>
        </is>
      </c>
      <c r="B1092" s="1" t="n">
        <v>45129</v>
      </c>
      <c r="C1092" s="1" t="n">
        <v>45735</v>
      </c>
      <c r="D1092" t="inlineStr">
        <is>
          <t>KRONOBERGS LÄN</t>
        </is>
      </c>
      <c r="E1092" t="inlineStr">
        <is>
          <t>TINGSRYD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33781-2023</t>
        </is>
      </c>
      <c r="B1093" s="1" t="n">
        <v>45133</v>
      </c>
      <c r="C1093" s="1" t="n">
        <v>45735</v>
      </c>
      <c r="D1093" t="inlineStr">
        <is>
          <t>KRONOBERGS LÄN</t>
        </is>
      </c>
      <c r="E1093" t="inlineStr">
        <is>
          <t>TINGSRYD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34209-2023</t>
        </is>
      </c>
      <c r="B1094" s="1" t="n">
        <v>45138</v>
      </c>
      <c r="C1094" s="1" t="n">
        <v>45735</v>
      </c>
      <c r="D1094" t="inlineStr">
        <is>
          <t>KRONOBERGS LÄN</t>
        </is>
      </c>
      <c r="E1094" t="inlineStr">
        <is>
          <t>TINGSRYD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34465-2023</t>
        </is>
      </c>
      <c r="B1095" s="1" t="n">
        <v>45139</v>
      </c>
      <c r="C1095" s="1" t="n">
        <v>45735</v>
      </c>
      <c r="D1095" t="inlineStr">
        <is>
          <t>KRONOBERGS LÄN</t>
        </is>
      </c>
      <c r="E1095" t="inlineStr">
        <is>
          <t>TINGSRYD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34758-2023</t>
        </is>
      </c>
      <c r="B1096" s="1" t="n">
        <v>45139</v>
      </c>
      <c r="C1096" s="1" t="n">
        <v>45735</v>
      </c>
      <c r="D1096" t="inlineStr">
        <is>
          <t>KRONOBERGS LÄN</t>
        </is>
      </c>
      <c r="E1096" t="inlineStr">
        <is>
          <t>TINGSRYD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35455-2023</t>
        </is>
      </c>
      <c r="B1097" s="1" t="n">
        <v>45146</v>
      </c>
      <c r="C1097" s="1" t="n">
        <v>45735</v>
      </c>
      <c r="D1097" t="inlineStr">
        <is>
          <t>KRONOBERGS LÄN</t>
        </is>
      </c>
      <c r="E1097" t="inlineStr">
        <is>
          <t>TINGSRYD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35464-2023</t>
        </is>
      </c>
      <c r="B1098" s="1" t="n">
        <v>45146</v>
      </c>
      <c r="C1098" s="1" t="n">
        <v>45735</v>
      </c>
      <c r="D1098" t="inlineStr">
        <is>
          <t>KRONOBERGS LÄN</t>
        </is>
      </c>
      <c r="E1098" t="inlineStr">
        <is>
          <t>TINGSRYD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35654-2023</t>
        </is>
      </c>
      <c r="B1099" s="1" t="n">
        <v>45147</v>
      </c>
      <c r="C1099" s="1" t="n">
        <v>45735</v>
      </c>
      <c r="D1099" t="inlineStr">
        <is>
          <t>KRONOBERGS LÄN</t>
        </is>
      </c>
      <c r="E1099" t="inlineStr">
        <is>
          <t>TINGSRYD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35519-2023</t>
        </is>
      </c>
      <c r="B1100" s="1" t="n">
        <v>45147</v>
      </c>
      <c r="C1100" s="1" t="n">
        <v>45735</v>
      </c>
      <c r="D1100" t="inlineStr">
        <is>
          <t>KRONOBERGS LÄN</t>
        </is>
      </c>
      <c r="E1100" t="inlineStr">
        <is>
          <t>TINGSRYD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35651-2023</t>
        </is>
      </c>
      <c r="B1101" s="1" t="n">
        <v>45147</v>
      </c>
      <c r="C1101" s="1" t="n">
        <v>45735</v>
      </c>
      <c r="D1101" t="inlineStr">
        <is>
          <t>KRONOBERGS LÄN</t>
        </is>
      </c>
      <c r="E1101" t="inlineStr">
        <is>
          <t>TINGSRYD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35661-2023</t>
        </is>
      </c>
      <c r="B1102" s="1" t="n">
        <v>45147</v>
      </c>
      <c r="C1102" s="1" t="n">
        <v>45735</v>
      </c>
      <c r="D1102" t="inlineStr">
        <is>
          <t>KRONOBERGS LÄN</t>
        </is>
      </c>
      <c r="E1102" t="inlineStr">
        <is>
          <t>TINGSRYD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36274-2023</t>
        </is>
      </c>
      <c r="B1103" s="1" t="n">
        <v>45152</v>
      </c>
      <c r="C1103" s="1" t="n">
        <v>45735</v>
      </c>
      <c r="D1103" t="inlineStr">
        <is>
          <t>KRONOBERGS LÄN</t>
        </is>
      </c>
      <c r="E1103" t="inlineStr">
        <is>
          <t>TINGSRYD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36312-2023</t>
        </is>
      </c>
      <c r="B1104" s="1" t="n">
        <v>45152</v>
      </c>
      <c r="C1104" s="1" t="n">
        <v>45735</v>
      </c>
      <c r="D1104" t="inlineStr">
        <is>
          <t>KRONOBERGS LÄN</t>
        </is>
      </c>
      <c r="E1104" t="inlineStr">
        <is>
          <t>TINGSRYD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36276-2023</t>
        </is>
      </c>
      <c r="B1105" s="1" t="n">
        <v>45152</v>
      </c>
      <c r="C1105" s="1" t="n">
        <v>45735</v>
      </c>
      <c r="D1105" t="inlineStr">
        <is>
          <t>KRONOBERGS LÄN</t>
        </is>
      </c>
      <c r="E1105" t="inlineStr">
        <is>
          <t>TINGSRYD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36337-2023</t>
        </is>
      </c>
      <c r="B1106" s="1" t="n">
        <v>45152</v>
      </c>
      <c r="C1106" s="1" t="n">
        <v>45735</v>
      </c>
      <c r="D1106" t="inlineStr">
        <is>
          <t>KRONOBERGS LÄN</t>
        </is>
      </c>
      <c r="E1106" t="inlineStr">
        <is>
          <t>TINGSRYD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36355-2023</t>
        </is>
      </c>
      <c r="B1107" s="1" t="n">
        <v>45152</v>
      </c>
      <c r="C1107" s="1" t="n">
        <v>45735</v>
      </c>
      <c r="D1107" t="inlineStr">
        <is>
          <t>KRONOBERGS LÄN</t>
        </is>
      </c>
      <c r="E1107" t="inlineStr">
        <is>
          <t>TINGSRYD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36678-2023</t>
        </is>
      </c>
      <c r="B1108" s="1" t="n">
        <v>45152</v>
      </c>
      <c r="C1108" s="1" t="n">
        <v>45735</v>
      </c>
      <c r="D1108" t="inlineStr">
        <is>
          <t>KRONOBERGS LÄN</t>
        </is>
      </c>
      <c r="E1108" t="inlineStr">
        <is>
          <t>TINGSRYD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36683-2023</t>
        </is>
      </c>
      <c r="B1109" s="1" t="n">
        <v>45152</v>
      </c>
      <c r="C1109" s="1" t="n">
        <v>45735</v>
      </c>
      <c r="D1109" t="inlineStr">
        <is>
          <t>KRONOBERGS LÄN</t>
        </is>
      </c>
      <c r="E1109" t="inlineStr">
        <is>
          <t>TINGSRYD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36543-2023</t>
        </is>
      </c>
      <c r="B1110" s="1" t="n">
        <v>45153</v>
      </c>
      <c r="C1110" s="1" t="n">
        <v>45735</v>
      </c>
      <c r="D1110" t="inlineStr">
        <is>
          <t>KRONOBERGS LÄN</t>
        </is>
      </c>
      <c r="E1110" t="inlineStr">
        <is>
          <t>TINGSRYD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36890-2023</t>
        </is>
      </c>
      <c r="B1111" s="1" t="n">
        <v>45154</v>
      </c>
      <c r="C1111" s="1" t="n">
        <v>45735</v>
      </c>
      <c r="D1111" t="inlineStr">
        <is>
          <t>KRONOBERGS LÄN</t>
        </is>
      </c>
      <c r="E1111" t="inlineStr">
        <is>
          <t>TINGSRYD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37052-2023</t>
        </is>
      </c>
      <c r="B1112" s="1" t="n">
        <v>45154</v>
      </c>
      <c r="C1112" s="1" t="n">
        <v>45735</v>
      </c>
      <c r="D1112" t="inlineStr">
        <is>
          <t>KRONOBERGS LÄN</t>
        </is>
      </c>
      <c r="E1112" t="inlineStr">
        <is>
          <t>TINGSRYD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37213-2023</t>
        </is>
      </c>
      <c r="B1113" s="1" t="n">
        <v>45155</v>
      </c>
      <c r="C1113" s="1" t="n">
        <v>45735</v>
      </c>
      <c r="D1113" t="inlineStr">
        <is>
          <t>KRONOBERGS LÄN</t>
        </is>
      </c>
      <c r="E1113" t="inlineStr">
        <is>
          <t>TINGSRYD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37130-2023</t>
        </is>
      </c>
      <c r="B1114" s="1" t="n">
        <v>45155</v>
      </c>
      <c r="C1114" s="1" t="n">
        <v>45735</v>
      </c>
      <c r="D1114" t="inlineStr">
        <is>
          <t>KRONOBERGS LÄN</t>
        </is>
      </c>
      <c r="E1114" t="inlineStr">
        <is>
          <t>TINGSRYD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37184-2023</t>
        </is>
      </c>
      <c r="B1115" s="1" t="n">
        <v>45155</v>
      </c>
      <c r="C1115" s="1" t="n">
        <v>45735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37189-2023</t>
        </is>
      </c>
      <c r="B1116" s="1" t="n">
        <v>45155</v>
      </c>
      <c r="C1116" s="1" t="n">
        <v>45735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37195-2023</t>
        </is>
      </c>
      <c r="B1117" s="1" t="n">
        <v>45155</v>
      </c>
      <c r="C1117" s="1" t="n">
        <v>45735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37126-2023</t>
        </is>
      </c>
      <c r="B1118" s="1" t="n">
        <v>45155</v>
      </c>
      <c r="C1118" s="1" t="n">
        <v>45735</v>
      </c>
      <c r="D1118" t="inlineStr">
        <is>
          <t>KRONOBERGS LÄN</t>
        </is>
      </c>
      <c r="E1118" t="inlineStr">
        <is>
          <t>TINGSRYD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37187-2023</t>
        </is>
      </c>
      <c r="B1119" s="1" t="n">
        <v>45155</v>
      </c>
      <c r="C1119" s="1" t="n">
        <v>45735</v>
      </c>
      <c r="D1119" t="inlineStr">
        <is>
          <t>KRONOBERGS LÄN</t>
        </is>
      </c>
      <c r="E1119" t="inlineStr">
        <is>
          <t>TINGSRYD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37215-2023</t>
        </is>
      </c>
      <c r="B1120" s="1" t="n">
        <v>45155</v>
      </c>
      <c r="C1120" s="1" t="n">
        <v>45735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37286-2023</t>
        </is>
      </c>
      <c r="B1121" s="1" t="n">
        <v>45156</v>
      </c>
      <c r="C1121" s="1" t="n">
        <v>45735</v>
      </c>
      <c r="D1121" t="inlineStr">
        <is>
          <t>KRONOBERGS LÄN</t>
        </is>
      </c>
      <c r="E1121" t="inlineStr">
        <is>
          <t>TINGSRYD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37289-2023</t>
        </is>
      </c>
      <c r="B1122" s="1" t="n">
        <v>45156</v>
      </c>
      <c r="C1122" s="1" t="n">
        <v>45735</v>
      </c>
      <c r="D1122" t="inlineStr">
        <is>
          <t>KRONOBERGS LÄN</t>
        </is>
      </c>
      <c r="E1122" t="inlineStr">
        <is>
          <t>TINGSRYD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38246-2023</t>
        </is>
      </c>
      <c r="B1123" s="1" t="n">
        <v>45160</v>
      </c>
      <c r="C1123" s="1" t="n">
        <v>45735</v>
      </c>
      <c r="D1123" t="inlineStr">
        <is>
          <t>KRONOBERGS LÄN</t>
        </is>
      </c>
      <c r="E1123" t="inlineStr">
        <is>
          <t>TINGSRYD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38476-2023</t>
        </is>
      </c>
      <c r="B1124" s="1" t="n">
        <v>45162</v>
      </c>
      <c r="C1124" s="1" t="n">
        <v>45735</v>
      </c>
      <c r="D1124" t="inlineStr">
        <is>
          <t>KRONOBERGS LÄN</t>
        </is>
      </c>
      <c r="E1124" t="inlineStr">
        <is>
          <t>TINGSRYD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39105-2023</t>
        </is>
      </c>
      <c r="B1125" s="1" t="n">
        <v>45164</v>
      </c>
      <c r="C1125" s="1" t="n">
        <v>45735</v>
      </c>
      <c r="D1125" t="inlineStr">
        <is>
          <t>KRONOBERGS LÄN</t>
        </is>
      </c>
      <c r="E1125" t="inlineStr">
        <is>
          <t>TINGSRYD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39099-2023</t>
        </is>
      </c>
      <c r="B1126" s="1" t="n">
        <v>45164</v>
      </c>
      <c r="C1126" s="1" t="n">
        <v>45735</v>
      </c>
      <c r="D1126" t="inlineStr">
        <is>
          <t>KRONOBERGS LÄN</t>
        </is>
      </c>
      <c r="E1126" t="inlineStr">
        <is>
          <t>TINGSRYD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39104-2023</t>
        </is>
      </c>
      <c r="B1127" s="1" t="n">
        <v>45164</v>
      </c>
      <c r="C1127" s="1" t="n">
        <v>45735</v>
      </c>
      <c r="D1127" t="inlineStr">
        <is>
          <t>KRONOBERGS LÄN</t>
        </is>
      </c>
      <c r="E1127" t="inlineStr">
        <is>
          <t>TINGSRYD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39103-2023</t>
        </is>
      </c>
      <c r="B1128" s="1" t="n">
        <v>45164</v>
      </c>
      <c r="C1128" s="1" t="n">
        <v>45735</v>
      </c>
      <c r="D1128" t="inlineStr">
        <is>
          <t>KRONOBERGS LÄN</t>
        </is>
      </c>
      <c r="E1128" t="inlineStr">
        <is>
          <t>TINGSRYD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39150-2023</t>
        </is>
      </c>
      <c r="B1129" s="1" t="n">
        <v>45166</v>
      </c>
      <c r="C1129" s="1" t="n">
        <v>45735</v>
      </c>
      <c r="D1129" t="inlineStr">
        <is>
          <t>KRONOBERGS LÄN</t>
        </is>
      </c>
      <c r="E1129" t="inlineStr">
        <is>
          <t>TINGSRYD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39992-2023</t>
        </is>
      </c>
      <c r="B1130" s="1" t="n">
        <v>45167</v>
      </c>
      <c r="C1130" s="1" t="n">
        <v>45735</v>
      </c>
      <c r="D1130" t="inlineStr">
        <is>
          <t>KRONOBERGS LÄN</t>
        </is>
      </c>
      <c r="E1130" t="inlineStr">
        <is>
          <t>TINGSRYD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39890-2023</t>
        </is>
      </c>
      <c r="B1131" s="1" t="n">
        <v>45168</v>
      </c>
      <c r="C1131" s="1" t="n">
        <v>45735</v>
      </c>
      <c r="D1131" t="inlineStr">
        <is>
          <t>KRONOBERGS LÄN</t>
        </is>
      </c>
      <c r="E1131" t="inlineStr">
        <is>
          <t>TINGSRYD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40487-2023</t>
        </is>
      </c>
      <c r="B1132" s="1" t="n">
        <v>45170</v>
      </c>
      <c r="C1132" s="1" t="n">
        <v>45735</v>
      </c>
      <c r="D1132" t="inlineStr">
        <is>
          <t>KRONOBERGS LÄN</t>
        </is>
      </c>
      <c r="E1132" t="inlineStr">
        <is>
          <t>TINGSRYD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40882-2023</t>
        </is>
      </c>
      <c r="B1133" s="1" t="n">
        <v>45173</v>
      </c>
      <c r="C1133" s="1" t="n">
        <v>45735</v>
      </c>
      <c r="D1133" t="inlineStr">
        <is>
          <t>KRONOBERGS LÄN</t>
        </is>
      </c>
      <c r="E1133" t="inlineStr">
        <is>
          <t>TINGSRYD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41302-2023</t>
        </is>
      </c>
      <c r="B1134" s="1" t="n">
        <v>45173</v>
      </c>
      <c r="C1134" s="1" t="n">
        <v>45735</v>
      </c>
      <c r="D1134" t="inlineStr">
        <is>
          <t>KRONOBERGS LÄN</t>
        </is>
      </c>
      <c r="E1134" t="inlineStr">
        <is>
          <t>TINGSRYD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41192-2023</t>
        </is>
      </c>
      <c r="B1135" s="1" t="n">
        <v>45174</v>
      </c>
      <c r="C1135" s="1" t="n">
        <v>45735</v>
      </c>
      <c r="D1135" t="inlineStr">
        <is>
          <t>KRONOBERGS LÄN</t>
        </is>
      </c>
      <c r="E1135" t="inlineStr">
        <is>
          <t>TINGSRYD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42095-2023</t>
        </is>
      </c>
      <c r="B1136" s="1" t="n">
        <v>45175</v>
      </c>
      <c r="C1136" s="1" t="n">
        <v>45735</v>
      </c>
      <c r="D1136" t="inlineStr">
        <is>
          <t>KRONOBERGS LÄN</t>
        </is>
      </c>
      <c r="E1136" t="inlineStr">
        <is>
          <t>TINGSRYD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42246-2023</t>
        </is>
      </c>
      <c r="B1137" s="1" t="n">
        <v>45175</v>
      </c>
      <c r="C1137" s="1" t="n">
        <v>45735</v>
      </c>
      <c r="D1137" t="inlineStr">
        <is>
          <t>KRONOBERGS LÄN</t>
        </is>
      </c>
      <c r="E1137" t="inlineStr">
        <is>
          <t>TINGSRYD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41753-2023</t>
        </is>
      </c>
      <c r="B1138" s="1" t="n">
        <v>45176</v>
      </c>
      <c r="C1138" s="1" t="n">
        <v>45735</v>
      </c>
      <c r="D1138" t="inlineStr">
        <is>
          <t>KRONOBERGS LÄN</t>
        </is>
      </c>
      <c r="E1138" t="inlineStr">
        <is>
          <t>TINGSRYD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41770-2023</t>
        </is>
      </c>
      <c r="B1139" s="1" t="n">
        <v>45176</v>
      </c>
      <c r="C1139" s="1" t="n">
        <v>45735</v>
      </c>
      <c r="D1139" t="inlineStr">
        <is>
          <t>KRONOBERGS LÄN</t>
        </is>
      </c>
      <c r="E1139" t="inlineStr">
        <is>
          <t>TINGSRYD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41774-2023</t>
        </is>
      </c>
      <c r="B1140" s="1" t="n">
        <v>45176</v>
      </c>
      <c r="C1140" s="1" t="n">
        <v>45735</v>
      </c>
      <c r="D1140" t="inlineStr">
        <is>
          <t>KRONOBERGS LÄN</t>
        </is>
      </c>
      <c r="E1140" t="inlineStr">
        <is>
          <t>TINGSRYD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41768-2023</t>
        </is>
      </c>
      <c r="B1141" s="1" t="n">
        <v>45176</v>
      </c>
      <c r="C1141" s="1" t="n">
        <v>45735</v>
      </c>
      <c r="D1141" t="inlineStr">
        <is>
          <t>KRONOBERGS LÄN</t>
        </is>
      </c>
      <c r="E1141" t="inlineStr">
        <is>
          <t>TINGSRYD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41772-2023</t>
        </is>
      </c>
      <c r="B1142" s="1" t="n">
        <v>45176</v>
      </c>
      <c r="C1142" s="1" t="n">
        <v>45735</v>
      </c>
      <c r="D1142" t="inlineStr">
        <is>
          <t>KRONOBERGS LÄN</t>
        </is>
      </c>
      <c r="E1142" t="inlineStr">
        <is>
          <t>TINGSRYD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41824-2023</t>
        </is>
      </c>
      <c r="B1143" s="1" t="n">
        <v>45176</v>
      </c>
      <c r="C1143" s="1" t="n">
        <v>45735</v>
      </c>
      <c r="D1143" t="inlineStr">
        <is>
          <t>KRONOBERGS LÄN</t>
        </is>
      </c>
      <c r="E1143" t="inlineStr">
        <is>
          <t>TINGSRYD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41964-2023</t>
        </is>
      </c>
      <c r="B1144" s="1" t="n">
        <v>45177</v>
      </c>
      <c r="C1144" s="1" t="n">
        <v>45735</v>
      </c>
      <c r="D1144" t="inlineStr">
        <is>
          <t>KRONOBERGS LÄN</t>
        </is>
      </c>
      <c r="E1144" t="inlineStr">
        <is>
          <t>TINGSRYD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42354-2023</t>
        </is>
      </c>
      <c r="B1145" s="1" t="n">
        <v>45180</v>
      </c>
      <c r="C1145" s="1" t="n">
        <v>45735</v>
      </c>
      <c r="D1145" t="inlineStr">
        <is>
          <t>KRONOBERGS LÄN</t>
        </is>
      </c>
      <c r="E1145" t="inlineStr">
        <is>
          <t>TINGSRYD</t>
        </is>
      </c>
      <c r="F1145" t="inlineStr">
        <is>
          <t>Övriga Aktiebolag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42315-2023</t>
        </is>
      </c>
      <c r="B1146" s="1" t="n">
        <v>45180</v>
      </c>
      <c r="C1146" s="1" t="n">
        <v>45735</v>
      </c>
      <c r="D1146" t="inlineStr">
        <is>
          <t>KRONOBERGS LÄN</t>
        </is>
      </c>
      <c r="E1146" t="inlineStr">
        <is>
          <t>TINGSRYD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42609-2023</t>
        </is>
      </c>
      <c r="B1147" s="1" t="n">
        <v>45181</v>
      </c>
      <c r="C1147" s="1" t="n">
        <v>45735</v>
      </c>
      <c r="D1147" t="inlineStr">
        <is>
          <t>KRONOBERGS LÄN</t>
        </is>
      </c>
      <c r="E1147" t="inlineStr">
        <is>
          <t>TINGSRYD</t>
        </is>
      </c>
      <c r="G1147" t="n">
        <v>6.3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42654-2023</t>
        </is>
      </c>
      <c r="B1148" s="1" t="n">
        <v>45181</v>
      </c>
      <c r="C1148" s="1" t="n">
        <v>45735</v>
      </c>
      <c r="D1148" t="inlineStr">
        <is>
          <t>KRONOBERGS LÄN</t>
        </is>
      </c>
      <c r="E1148" t="inlineStr">
        <is>
          <t>TINGSRYD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42713-2023</t>
        </is>
      </c>
      <c r="B1149" s="1" t="n">
        <v>45181</v>
      </c>
      <c r="C1149" s="1" t="n">
        <v>45735</v>
      </c>
      <c r="D1149" t="inlineStr">
        <is>
          <t>KRONOBERGS LÄN</t>
        </is>
      </c>
      <c r="E1149" t="inlineStr">
        <is>
          <t>TINGSRYD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42563-2023</t>
        </is>
      </c>
      <c r="B1150" s="1" t="n">
        <v>45181</v>
      </c>
      <c r="C1150" s="1" t="n">
        <v>45735</v>
      </c>
      <c r="D1150" t="inlineStr">
        <is>
          <t>KRONOBERGS LÄN</t>
        </is>
      </c>
      <c r="E1150" t="inlineStr">
        <is>
          <t>TINGSRYD</t>
        </is>
      </c>
      <c r="G1150" t="n">
        <v>12.7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42624-2023</t>
        </is>
      </c>
      <c r="B1151" s="1" t="n">
        <v>45181</v>
      </c>
      <c r="C1151" s="1" t="n">
        <v>45735</v>
      </c>
      <c r="D1151" t="inlineStr">
        <is>
          <t>KRONOBERGS LÄN</t>
        </is>
      </c>
      <c r="E1151" t="inlineStr">
        <is>
          <t>TINGSRYD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42994-2023</t>
        </is>
      </c>
      <c r="B1152" s="1" t="n">
        <v>45182</v>
      </c>
      <c r="C1152" s="1" t="n">
        <v>45735</v>
      </c>
      <c r="D1152" t="inlineStr">
        <is>
          <t>KRONOBERGS LÄN</t>
        </is>
      </c>
      <c r="E1152" t="inlineStr">
        <is>
          <t>TINGSRYD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42947-2023</t>
        </is>
      </c>
      <c r="B1153" s="1" t="n">
        <v>45182</v>
      </c>
      <c r="C1153" s="1" t="n">
        <v>45735</v>
      </c>
      <c r="D1153" t="inlineStr">
        <is>
          <t>KRONOBERGS LÄN</t>
        </is>
      </c>
      <c r="E1153" t="inlineStr">
        <is>
          <t>TINGSRYD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43311-2023</t>
        </is>
      </c>
      <c r="B1154" s="1" t="n">
        <v>45183</v>
      </c>
      <c r="C1154" s="1" t="n">
        <v>45735</v>
      </c>
      <c r="D1154" t="inlineStr">
        <is>
          <t>KRONOBERGS LÄN</t>
        </is>
      </c>
      <c r="E1154" t="inlineStr">
        <is>
          <t>TINGSRYD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43315-2023</t>
        </is>
      </c>
      <c r="B1155" s="1" t="n">
        <v>45183</v>
      </c>
      <c r="C1155" s="1" t="n">
        <v>45735</v>
      </c>
      <c r="D1155" t="inlineStr">
        <is>
          <t>KRONOBERGS LÄN</t>
        </is>
      </c>
      <c r="E1155" t="inlineStr">
        <is>
          <t>TINGSRYD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43319-2023</t>
        </is>
      </c>
      <c r="B1156" s="1" t="n">
        <v>45183</v>
      </c>
      <c r="C1156" s="1" t="n">
        <v>45735</v>
      </c>
      <c r="D1156" t="inlineStr">
        <is>
          <t>KRONOBERGS LÄN</t>
        </is>
      </c>
      <c r="E1156" t="inlineStr">
        <is>
          <t>TINGSRYD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43301-2023</t>
        </is>
      </c>
      <c r="B1157" s="1" t="n">
        <v>45183</v>
      </c>
      <c r="C1157" s="1" t="n">
        <v>45735</v>
      </c>
      <c r="D1157" t="inlineStr">
        <is>
          <t>KRONOBERGS LÄN</t>
        </is>
      </c>
      <c r="E1157" t="inlineStr">
        <is>
          <t>TINGSRYD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43308-2023</t>
        </is>
      </c>
      <c r="B1158" s="1" t="n">
        <v>45183</v>
      </c>
      <c r="C1158" s="1" t="n">
        <v>45735</v>
      </c>
      <c r="D1158" t="inlineStr">
        <is>
          <t>KRONOBERGS LÄN</t>
        </is>
      </c>
      <c r="E1158" t="inlineStr">
        <is>
          <t>TINGSRYD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44016-2023</t>
        </is>
      </c>
      <c r="B1159" s="1" t="n">
        <v>45188</v>
      </c>
      <c r="C1159" s="1" t="n">
        <v>45735</v>
      </c>
      <c r="D1159" t="inlineStr">
        <is>
          <t>KRONOBERGS LÄN</t>
        </is>
      </c>
      <c r="E1159" t="inlineStr">
        <is>
          <t>TINGSRYD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44153-2023</t>
        </is>
      </c>
      <c r="B1160" s="1" t="n">
        <v>45188</v>
      </c>
      <c r="C1160" s="1" t="n">
        <v>45735</v>
      </c>
      <c r="D1160" t="inlineStr">
        <is>
          <t>KRONOBERGS LÄN</t>
        </is>
      </c>
      <c r="E1160" t="inlineStr">
        <is>
          <t>TINGSRYD</t>
        </is>
      </c>
      <c r="F1160" t="inlineStr">
        <is>
          <t>Övriga Aktiebolag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44234-2023</t>
        </is>
      </c>
      <c r="B1161" s="1" t="n">
        <v>45188</v>
      </c>
      <c r="C1161" s="1" t="n">
        <v>45735</v>
      </c>
      <c r="D1161" t="inlineStr">
        <is>
          <t>KRONOBERGS LÄN</t>
        </is>
      </c>
      <c r="E1161" t="inlineStr">
        <is>
          <t>TINGSRYD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44237-2023</t>
        </is>
      </c>
      <c r="B1162" s="1" t="n">
        <v>45188</v>
      </c>
      <c r="C1162" s="1" t="n">
        <v>45735</v>
      </c>
      <c r="D1162" t="inlineStr">
        <is>
          <t>KRONOBERGS LÄN</t>
        </is>
      </c>
      <c r="E1162" t="inlineStr">
        <is>
          <t>TINGSRYD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44147-2023</t>
        </is>
      </c>
      <c r="B1163" s="1" t="n">
        <v>45188</v>
      </c>
      <c r="C1163" s="1" t="n">
        <v>45735</v>
      </c>
      <c r="D1163" t="inlineStr">
        <is>
          <t>KRONOBERGS LÄN</t>
        </is>
      </c>
      <c r="E1163" t="inlineStr">
        <is>
          <t>TINGSRYD</t>
        </is>
      </c>
      <c r="F1163" t="inlineStr">
        <is>
          <t>Övriga Aktiebolag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44156-2023</t>
        </is>
      </c>
      <c r="B1164" s="1" t="n">
        <v>45188</v>
      </c>
      <c r="C1164" s="1" t="n">
        <v>45735</v>
      </c>
      <c r="D1164" t="inlineStr">
        <is>
          <t>KRONOBERGS LÄN</t>
        </is>
      </c>
      <c r="E1164" t="inlineStr">
        <is>
          <t>TINGSRYD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44266-2023</t>
        </is>
      </c>
      <c r="B1165" s="1" t="n">
        <v>45188</v>
      </c>
      <c r="C1165" s="1" t="n">
        <v>45735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44299-2023</t>
        </is>
      </c>
      <c r="B1166" s="1" t="n">
        <v>45188</v>
      </c>
      <c r="C1166" s="1" t="n">
        <v>45735</v>
      </c>
      <c r="D1166" t="inlineStr">
        <is>
          <t>KRONOBERGS LÄN</t>
        </is>
      </c>
      <c r="E1166" t="inlineStr">
        <is>
          <t>TINGSRYD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45038-2023</t>
        </is>
      </c>
      <c r="B1167" s="1" t="n">
        <v>45191</v>
      </c>
      <c r="C1167" s="1" t="n">
        <v>45735</v>
      </c>
      <c r="D1167" t="inlineStr">
        <is>
          <t>KRONOBERGS LÄN</t>
        </is>
      </c>
      <c r="E1167" t="inlineStr">
        <is>
          <t>TINGSRYD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45040-2023</t>
        </is>
      </c>
      <c r="B1168" s="1" t="n">
        <v>45191</v>
      </c>
      <c r="C1168" s="1" t="n">
        <v>45735</v>
      </c>
      <c r="D1168" t="inlineStr">
        <is>
          <t>KRONOBERGS LÄN</t>
        </is>
      </c>
      <c r="E1168" t="inlineStr">
        <is>
          <t>TINGSRYD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45522-2023</t>
        </is>
      </c>
      <c r="B1169" s="1" t="n">
        <v>45194</v>
      </c>
      <c r="C1169" s="1" t="n">
        <v>45735</v>
      </c>
      <c r="D1169" t="inlineStr">
        <is>
          <t>KRONOBERGS LÄN</t>
        </is>
      </c>
      <c r="E1169" t="inlineStr">
        <is>
          <t>TINGSRYD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45986-2023</t>
        </is>
      </c>
      <c r="B1170" s="1" t="n">
        <v>45196</v>
      </c>
      <c r="C1170" s="1" t="n">
        <v>45735</v>
      </c>
      <c r="D1170" t="inlineStr">
        <is>
          <t>KRONOBERGS LÄN</t>
        </is>
      </c>
      <c r="E1170" t="inlineStr">
        <is>
          <t>TINGSRYD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46470-2023</t>
        </is>
      </c>
      <c r="B1171" s="1" t="n">
        <v>45197</v>
      </c>
      <c r="C1171" s="1" t="n">
        <v>45735</v>
      </c>
      <c r="D1171" t="inlineStr">
        <is>
          <t>KRONOBERGS LÄN</t>
        </is>
      </c>
      <c r="E1171" t="inlineStr">
        <is>
          <t>TINGSRYD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46479-2023</t>
        </is>
      </c>
      <c r="B1172" s="1" t="n">
        <v>45197</v>
      </c>
      <c r="C1172" s="1" t="n">
        <v>45735</v>
      </c>
      <c r="D1172" t="inlineStr">
        <is>
          <t>KRONOBERGS LÄN</t>
        </is>
      </c>
      <c r="E1172" t="inlineStr">
        <is>
          <t>TINGSRYD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46981-2023</t>
        </is>
      </c>
      <c r="B1173" s="1" t="n">
        <v>45201</v>
      </c>
      <c r="C1173" s="1" t="n">
        <v>45735</v>
      </c>
      <c r="D1173" t="inlineStr">
        <is>
          <t>KRONOBERGS LÄN</t>
        </is>
      </c>
      <c r="E1173" t="inlineStr">
        <is>
          <t>TINGSRYD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47149-2023</t>
        </is>
      </c>
      <c r="B1174" s="1" t="n">
        <v>45201</v>
      </c>
      <c r="C1174" s="1" t="n">
        <v>45735</v>
      </c>
      <c r="D1174" t="inlineStr">
        <is>
          <t>KRONOBERGS LÄN</t>
        </is>
      </c>
      <c r="E1174" t="inlineStr">
        <is>
          <t>TINGSRYD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47542-2023</t>
        </is>
      </c>
      <c r="B1175" s="1" t="n">
        <v>45203</v>
      </c>
      <c r="C1175" s="1" t="n">
        <v>45735</v>
      </c>
      <c r="D1175" t="inlineStr">
        <is>
          <t>KRONOBERGS LÄN</t>
        </is>
      </c>
      <c r="E1175" t="inlineStr">
        <is>
          <t>TINGSRYD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47633-2023</t>
        </is>
      </c>
      <c r="B1176" s="1" t="n">
        <v>45203</v>
      </c>
      <c r="C1176" s="1" t="n">
        <v>45735</v>
      </c>
      <c r="D1176" t="inlineStr">
        <is>
          <t>KRONOBERGS LÄN</t>
        </is>
      </c>
      <c r="E1176" t="inlineStr">
        <is>
          <t>TINGSRYD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47538-2023</t>
        </is>
      </c>
      <c r="B1177" s="1" t="n">
        <v>45203</v>
      </c>
      <c r="C1177" s="1" t="n">
        <v>45735</v>
      </c>
      <c r="D1177" t="inlineStr">
        <is>
          <t>KRONOBERGS LÄN</t>
        </is>
      </c>
      <c r="E1177" t="inlineStr">
        <is>
          <t>TINGSRYD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47550-2023</t>
        </is>
      </c>
      <c r="B1178" s="1" t="n">
        <v>45203</v>
      </c>
      <c r="C1178" s="1" t="n">
        <v>45735</v>
      </c>
      <c r="D1178" t="inlineStr">
        <is>
          <t>KRONOBERGS LÄN</t>
        </is>
      </c>
      <c r="E1178" t="inlineStr">
        <is>
          <t>TINGSRYD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47539-2023</t>
        </is>
      </c>
      <c r="B1179" s="1" t="n">
        <v>45203</v>
      </c>
      <c r="C1179" s="1" t="n">
        <v>45735</v>
      </c>
      <c r="D1179" t="inlineStr">
        <is>
          <t>KRONOBERGS LÄN</t>
        </is>
      </c>
      <c r="E1179" t="inlineStr">
        <is>
          <t>TINGSRYD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47544-2023</t>
        </is>
      </c>
      <c r="B1180" s="1" t="n">
        <v>45203</v>
      </c>
      <c r="C1180" s="1" t="n">
        <v>45735</v>
      </c>
      <c r="D1180" t="inlineStr">
        <is>
          <t>KRONOBERGS LÄN</t>
        </is>
      </c>
      <c r="E1180" t="inlineStr">
        <is>
          <t>TINGSRYD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48806-2023</t>
        </is>
      </c>
      <c r="B1181" s="1" t="n">
        <v>45209</v>
      </c>
      <c r="C1181" s="1" t="n">
        <v>45735</v>
      </c>
      <c r="D1181" t="inlineStr">
        <is>
          <t>KRONOBERGS LÄN</t>
        </is>
      </c>
      <c r="E1181" t="inlineStr">
        <is>
          <t>TINGSRYD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49071-2023</t>
        </is>
      </c>
      <c r="B1182" s="1" t="n">
        <v>45210</v>
      </c>
      <c r="C1182" s="1" t="n">
        <v>45735</v>
      </c>
      <c r="D1182" t="inlineStr">
        <is>
          <t>KRONOBERGS LÄN</t>
        </is>
      </c>
      <c r="E1182" t="inlineStr">
        <is>
          <t>TINGSRYD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49181-2023</t>
        </is>
      </c>
      <c r="B1183" s="1" t="n">
        <v>45210</v>
      </c>
      <c r="C1183" s="1" t="n">
        <v>45735</v>
      </c>
      <c r="D1183" t="inlineStr">
        <is>
          <t>KRONOBERGS LÄN</t>
        </is>
      </c>
      <c r="E1183" t="inlineStr">
        <is>
          <t>TINGSRYD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49362-2023</t>
        </is>
      </c>
      <c r="B1184" s="1" t="n">
        <v>45211</v>
      </c>
      <c r="C1184" s="1" t="n">
        <v>45735</v>
      </c>
      <c r="D1184" t="inlineStr">
        <is>
          <t>KRONOBERGS LÄN</t>
        </is>
      </c>
      <c r="E1184" t="inlineStr">
        <is>
          <t>TINGSRYD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49349-2023</t>
        </is>
      </c>
      <c r="B1185" s="1" t="n">
        <v>45211</v>
      </c>
      <c r="C1185" s="1" t="n">
        <v>45735</v>
      </c>
      <c r="D1185" t="inlineStr">
        <is>
          <t>KRONOBERGS LÄN</t>
        </is>
      </c>
      <c r="E1185" t="inlineStr">
        <is>
          <t>TINGSRYD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49352-2023</t>
        </is>
      </c>
      <c r="B1186" s="1" t="n">
        <v>45211</v>
      </c>
      <c r="C1186" s="1" t="n">
        <v>45735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49690-2023</t>
        </is>
      </c>
      <c r="B1187" s="1" t="n">
        <v>45212</v>
      </c>
      <c r="C1187" s="1" t="n">
        <v>45735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49979-2023</t>
        </is>
      </c>
      <c r="B1188" s="1" t="n">
        <v>45215</v>
      </c>
      <c r="C1188" s="1" t="n">
        <v>45735</v>
      </c>
      <c r="D1188" t="inlineStr">
        <is>
          <t>KRONOBERGS LÄN</t>
        </is>
      </c>
      <c r="E1188" t="inlineStr">
        <is>
          <t>TINGSRYD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49987-2023</t>
        </is>
      </c>
      <c r="B1189" s="1" t="n">
        <v>45215</v>
      </c>
      <c r="C1189" s="1" t="n">
        <v>45735</v>
      </c>
      <c r="D1189" t="inlineStr">
        <is>
          <t>KRONOBERGS LÄN</t>
        </is>
      </c>
      <c r="E1189" t="inlineStr">
        <is>
          <t>TINGSRYD</t>
        </is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49940-2023</t>
        </is>
      </c>
      <c r="B1190" s="1" t="n">
        <v>45215</v>
      </c>
      <c r="C1190" s="1" t="n">
        <v>45735</v>
      </c>
      <c r="D1190" t="inlineStr">
        <is>
          <t>KRONOBERGS LÄN</t>
        </is>
      </c>
      <c r="E1190" t="inlineStr">
        <is>
          <t>TINGSRYD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52945-2023</t>
        </is>
      </c>
      <c r="B1191" s="1" t="n">
        <v>45226</v>
      </c>
      <c r="C1191" s="1" t="n">
        <v>45735</v>
      </c>
      <c r="D1191" t="inlineStr">
        <is>
          <t>KRONOBERGS LÄN</t>
        </is>
      </c>
      <c r="E1191" t="inlineStr">
        <is>
          <t>TINGSRYD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52930-2023</t>
        </is>
      </c>
      <c r="B1192" s="1" t="n">
        <v>45226</v>
      </c>
      <c r="C1192" s="1" t="n">
        <v>45735</v>
      </c>
      <c r="D1192" t="inlineStr">
        <is>
          <t>KRONOBERGS LÄN</t>
        </is>
      </c>
      <c r="E1192" t="inlineStr">
        <is>
          <t>TINGSRYD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54722-2023</t>
        </is>
      </c>
      <c r="B1193" s="1" t="n">
        <v>45229</v>
      </c>
      <c r="C1193" s="1" t="n">
        <v>45735</v>
      </c>
      <c r="D1193" t="inlineStr">
        <is>
          <t>KRONOBERGS LÄN</t>
        </is>
      </c>
      <c r="E1193" t="inlineStr">
        <is>
          <t>TINGSRYD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53726-2023</t>
        </is>
      </c>
      <c r="B1194" s="1" t="n">
        <v>45230</v>
      </c>
      <c r="C1194" s="1" t="n">
        <v>45735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53730-2023</t>
        </is>
      </c>
      <c r="B1195" s="1" t="n">
        <v>45230</v>
      </c>
      <c r="C1195" s="1" t="n">
        <v>45735</v>
      </c>
      <c r="D1195" t="inlineStr">
        <is>
          <t>KRONOBERGS LÄN</t>
        </is>
      </c>
      <c r="E1195" t="inlineStr">
        <is>
          <t>TINGSRYD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53728-2023</t>
        </is>
      </c>
      <c r="B1196" s="1" t="n">
        <v>45230</v>
      </c>
      <c r="C1196" s="1" t="n">
        <v>45735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55126-2023</t>
        </is>
      </c>
      <c r="B1197" s="1" t="n">
        <v>45230</v>
      </c>
      <c r="C1197" s="1" t="n">
        <v>45735</v>
      </c>
      <c r="D1197" t="inlineStr">
        <is>
          <t>KRONOBERGS LÄN</t>
        </is>
      </c>
      <c r="E1197" t="inlineStr">
        <is>
          <t>TINGSRYD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53861-2023</t>
        </is>
      </c>
      <c r="B1198" s="1" t="n">
        <v>45231</v>
      </c>
      <c r="C1198" s="1" t="n">
        <v>45735</v>
      </c>
      <c r="D1198" t="inlineStr">
        <is>
          <t>KRONOBERGS LÄN</t>
        </is>
      </c>
      <c r="E1198" t="inlineStr">
        <is>
          <t>TINGSRYD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53781-2023</t>
        </is>
      </c>
      <c r="B1199" s="1" t="n">
        <v>45231</v>
      </c>
      <c r="C1199" s="1" t="n">
        <v>45735</v>
      </c>
      <c r="D1199" t="inlineStr">
        <is>
          <t>KRONOBERGS LÄN</t>
        </is>
      </c>
      <c r="E1199" t="inlineStr">
        <is>
          <t>TINGSRYD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53862-2023</t>
        </is>
      </c>
      <c r="B1200" s="1" t="n">
        <v>45231</v>
      </c>
      <c r="C1200" s="1" t="n">
        <v>45735</v>
      </c>
      <c r="D1200" t="inlineStr">
        <is>
          <t>KRONOBERGS LÄN</t>
        </is>
      </c>
      <c r="E1200" t="inlineStr">
        <is>
          <t>TINGSRYD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53780-2023</t>
        </is>
      </c>
      <c r="B1201" s="1" t="n">
        <v>45231</v>
      </c>
      <c r="C1201" s="1" t="n">
        <v>45735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54400-2023</t>
        </is>
      </c>
      <c r="B1202" s="1" t="n">
        <v>45233</v>
      </c>
      <c r="C1202" s="1" t="n">
        <v>45735</v>
      </c>
      <c r="D1202" t="inlineStr">
        <is>
          <t>KRONOBERGS LÄN</t>
        </is>
      </c>
      <c r="E1202" t="inlineStr">
        <is>
          <t>TINGSRYD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54380-2023</t>
        </is>
      </c>
      <c r="B1203" s="1" t="n">
        <v>45233</v>
      </c>
      <c r="C1203" s="1" t="n">
        <v>45735</v>
      </c>
      <c r="D1203" t="inlineStr">
        <is>
          <t>KRONOBERGS LÄN</t>
        </is>
      </c>
      <c r="E1203" t="inlineStr">
        <is>
          <t>TINGSRYD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54416-2023</t>
        </is>
      </c>
      <c r="B1204" s="1" t="n">
        <v>45233</v>
      </c>
      <c r="C1204" s="1" t="n">
        <v>45735</v>
      </c>
      <c r="D1204" t="inlineStr">
        <is>
          <t>KRONOBERGS LÄN</t>
        </is>
      </c>
      <c r="E1204" t="inlineStr">
        <is>
          <t>TINGSRYD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54812-2023</t>
        </is>
      </c>
      <c r="B1205" s="1" t="n">
        <v>45236</v>
      </c>
      <c r="C1205" s="1" t="n">
        <v>45735</v>
      </c>
      <c r="D1205" t="inlineStr">
        <is>
          <t>KRONOBERGS LÄN</t>
        </is>
      </c>
      <c r="E1205" t="inlineStr">
        <is>
          <t>TINGSRYD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54963-2023</t>
        </is>
      </c>
      <c r="B1206" s="1" t="n">
        <v>45236</v>
      </c>
      <c r="C1206" s="1" t="n">
        <v>45735</v>
      </c>
      <c r="D1206" t="inlineStr">
        <is>
          <t>KRONOBERGS LÄN</t>
        </is>
      </c>
      <c r="E1206" t="inlineStr">
        <is>
          <t>TINGSRYD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55454-2023</t>
        </is>
      </c>
      <c r="B1207" s="1" t="n">
        <v>45238</v>
      </c>
      <c r="C1207" s="1" t="n">
        <v>45735</v>
      </c>
      <c r="D1207" t="inlineStr">
        <is>
          <t>KRONOBERGS LÄN</t>
        </is>
      </c>
      <c r="E1207" t="inlineStr">
        <is>
          <t>TINGSRYD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56001-2023</t>
        </is>
      </c>
      <c r="B1208" s="1" t="n">
        <v>45240</v>
      </c>
      <c r="C1208" s="1" t="n">
        <v>45735</v>
      </c>
      <c r="D1208" t="inlineStr">
        <is>
          <t>KRONOBERGS LÄN</t>
        </is>
      </c>
      <c r="E1208" t="inlineStr">
        <is>
          <t>TINGSRYD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55982-2023</t>
        </is>
      </c>
      <c r="B1209" s="1" t="n">
        <v>45240</v>
      </c>
      <c r="C1209" s="1" t="n">
        <v>45735</v>
      </c>
      <c r="D1209" t="inlineStr">
        <is>
          <t>KRONOBERGS LÄN</t>
        </is>
      </c>
      <c r="E1209" t="inlineStr">
        <is>
          <t>TINGSRYD</t>
        </is>
      </c>
      <c r="G1209" t="n">
        <v>6.9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56004-2023</t>
        </is>
      </c>
      <c r="B1210" s="1" t="n">
        <v>45240</v>
      </c>
      <c r="C1210" s="1" t="n">
        <v>45735</v>
      </c>
      <c r="D1210" t="inlineStr">
        <is>
          <t>KRONOBERGS LÄN</t>
        </is>
      </c>
      <c r="E1210" t="inlineStr">
        <is>
          <t>TINGSRYD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55994-2023</t>
        </is>
      </c>
      <c r="B1211" s="1" t="n">
        <v>45240</v>
      </c>
      <c r="C1211" s="1" t="n">
        <v>45735</v>
      </c>
      <c r="D1211" t="inlineStr">
        <is>
          <t>KRONOBERGS LÄN</t>
        </is>
      </c>
      <c r="E1211" t="inlineStr">
        <is>
          <t>TINGSRYD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55973-2023</t>
        </is>
      </c>
      <c r="B1212" s="1" t="n">
        <v>45240</v>
      </c>
      <c r="C1212" s="1" t="n">
        <v>45735</v>
      </c>
      <c r="D1212" t="inlineStr">
        <is>
          <t>KRONOBERGS LÄN</t>
        </is>
      </c>
      <c r="E1212" t="inlineStr">
        <is>
          <t>TINGSRYD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56576-2023</t>
        </is>
      </c>
      <c r="B1213" s="1" t="n">
        <v>45243</v>
      </c>
      <c r="C1213" s="1" t="n">
        <v>45735</v>
      </c>
      <c r="D1213" t="inlineStr">
        <is>
          <t>KRONOBERGS LÄN</t>
        </is>
      </c>
      <c r="E1213" t="inlineStr">
        <is>
          <t>TINGSRYD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56833-2023</t>
        </is>
      </c>
      <c r="B1214" s="1" t="n">
        <v>45244</v>
      </c>
      <c r="C1214" s="1" t="n">
        <v>45735</v>
      </c>
      <c r="D1214" t="inlineStr">
        <is>
          <t>KRONOBERGS LÄN</t>
        </is>
      </c>
      <c r="E1214" t="inlineStr">
        <is>
          <t>TINGSRYD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56933-2023</t>
        </is>
      </c>
      <c r="B1215" s="1" t="n">
        <v>45244</v>
      </c>
      <c r="C1215" s="1" t="n">
        <v>45735</v>
      </c>
      <c r="D1215" t="inlineStr">
        <is>
          <t>KRONOBERGS LÄN</t>
        </is>
      </c>
      <c r="E1215" t="inlineStr">
        <is>
          <t>TINGSRYD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56890-2023</t>
        </is>
      </c>
      <c r="B1216" s="1" t="n">
        <v>45244</v>
      </c>
      <c r="C1216" s="1" t="n">
        <v>45735</v>
      </c>
      <c r="D1216" t="inlineStr">
        <is>
          <t>KRONOBERGS LÄN</t>
        </is>
      </c>
      <c r="E1216" t="inlineStr">
        <is>
          <t>TINGSRYD</t>
        </is>
      </c>
      <c r="G1216" t="n">
        <v>14.7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56931-2023</t>
        </is>
      </c>
      <c r="B1217" s="1" t="n">
        <v>45244</v>
      </c>
      <c r="C1217" s="1" t="n">
        <v>45735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57157-2023</t>
        </is>
      </c>
      <c r="B1218" s="1" t="n">
        <v>45245</v>
      </c>
      <c r="C1218" s="1" t="n">
        <v>45735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57446-2023</t>
        </is>
      </c>
      <c r="B1219" s="1" t="n">
        <v>45246</v>
      </c>
      <c r="C1219" s="1" t="n">
        <v>45735</v>
      </c>
      <c r="D1219" t="inlineStr">
        <is>
          <t>KRONOBERGS LÄN</t>
        </is>
      </c>
      <c r="E1219" t="inlineStr">
        <is>
          <t>TINGSRYD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57451-2023</t>
        </is>
      </c>
      <c r="B1220" s="1" t="n">
        <v>45246</v>
      </c>
      <c r="C1220" s="1" t="n">
        <v>45735</v>
      </c>
      <c r="D1220" t="inlineStr">
        <is>
          <t>KRONOBERGS LÄN</t>
        </is>
      </c>
      <c r="E1220" t="inlineStr">
        <is>
          <t>TINGSRYD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57955-2023</t>
        </is>
      </c>
      <c r="B1221" s="1" t="n">
        <v>45247</v>
      </c>
      <c r="C1221" s="1" t="n">
        <v>45735</v>
      </c>
      <c r="D1221" t="inlineStr">
        <is>
          <t>KRONOBERGS LÄN</t>
        </is>
      </c>
      <c r="E1221" t="inlineStr">
        <is>
          <t>TINGSRYD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57952-2023</t>
        </is>
      </c>
      <c r="B1222" s="1" t="n">
        <v>45247</v>
      </c>
      <c r="C1222" s="1" t="n">
        <v>45735</v>
      </c>
      <c r="D1222" t="inlineStr">
        <is>
          <t>KRONOBERGS LÄN</t>
        </is>
      </c>
      <c r="E1222" t="inlineStr">
        <is>
          <t>TINGSRYD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57962-2023</t>
        </is>
      </c>
      <c r="B1223" s="1" t="n">
        <v>45247</v>
      </c>
      <c r="C1223" s="1" t="n">
        <v>45735</v>
      </c>
      <c r="D1223" t="inlineStr">
        <is>
          <t>KRONOBERGS LÄN</t>
        </is>
      </c>
      <c r="E1223" t="inlineStr">
        <is>
          <t>TINGSRYD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58199-2023</t>
        </is>
      </c>
      <c r="B1224" s="1" t="n">
        <v>45250</v>
      </c>
      <c r="C1224" s="1" t="n">
        <v>45735</v>
      </c>
      <c r="D1224" t="inlineStr">
        <is>
          <t>KRONOBERGS LÄN</t>
        </is>
      </c>
      <c r="E1224" t="inlineStr">
        <is>
          <t>TINGSRYD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58440-2023</t>
        </is>
      </c>
      <c r="B1225" s="1" t="n">
        <v>45250</v>
      </c>
      <c r="C1225" s="1" t="n">
        <v>45735</v>
      </c>
      <c r="D1225" t="inlineStr">
        <is>
          <t>KRONOBERGS LÄN</t>
        </is>
      </c>
      <c r="E1225" t="inlineStr">
        <is>
          <t>TINGSRYD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58941-2023</t>
        </is>
      </c>
      <c r="B1226" s="1" t="n">
        <v>45252</v>
      </c>
      <c r="C1226" s="1" t="n">
        <v>45735</v>
      </c>
      <c r="D1226" t="inlineStr">
        <is>
          <t>KRONOBERGS LÄN</t>
        </is>
      </c>
      <c r="E1226" t="inlineStr">
        <is>
          <t>TINGSRYD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58946-2023</t>
        </is>
      </c>
      <c r="B1227" s="1" t="n">
        <v>45252</v>
      </c>
      <c r="C1227" s="1" t="n">
        <v>45735</v>
      </c>
      <c r="D1227" t="inlineStr">
        <is>
          <t>KRONOBERGS LÄN</t>
        </is>
      </c>
      <c r="E1227" t="inlineStr">
        <is>
          <t>TINGSRYD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58957-2023</t>
        </is>
      </c>
      <c r="B1228" s="1" t="n">
        <v>45252</v>
      </c>
      <c r="C1228" s="1" t="n">
        <v>45735</v>
      </c>
      <c r="D1228" t="inlineStr">
        <is>
          <t>KRONOBERGS LÄN</t>
        </is>
      </c>
      <c r="E1228" t="inlineStr">
        <is>
          <t>TINGSRYD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58962-2023</t>
        </is>
      </c>
      <c r="B1229" s="1" t="n">
        <v>45252</v>
      </c>
      <c r="C1229" s="1" t="n">
        <v>45735</v>
      </c>
      <c r="D1229" t="inlineStr">
        <is>
          <t>KRONOBERGS LÄN</t>
        </is>
      </c>
      <c r="E1229" t="inlineStr">
        <is>
          <t>TINGSRYD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58927-2023</t>
        </is>
      </c>
      <c r="B1230" s="1" t="n">
        <v>45252</v>
      </c>
      <c r="C1230" s="1" t="n">
        <v>45735</v>
      </c>
      <c r="D1230" t="inlineStr">
        <is>
          <t>KRONOBERGS LÄN</t>
        </is>
      </c>
      <c r="E1230" t="inlineStr">
        <is>
          <t>TINGSRYD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59642-2023</t>
        </is>
      </c>
      <c r="B1231" s="1" t="n">
        <v>45254</v>
      </c>
      <c r="C1231" s="1" t="n">
        <v>45735</v>
      </c>
      <c r="D1231" t="inlineStr">
        <is>
          <t>KRONOBERGS LÄN</t>
        </is>
      </c>
      <c r="E1231" t="inlineStr">
        <is>
          <t>TINGSRYD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59909-2023</t>
        </is>
      </c>
      <c r="B1232" s="1" t="n">
        <v>45257</v>
      </c>
      <c r="C1232" s="1" t="n">
        <v>45735</v>
      </c>
      <c r="D1232" t="inlineStr">
        <is>
          <t>KRONOBERGS LÄN</t>
        </is>
      </c>
      <c r="E1232" t="inlineStr">
        <is>
          <t>TINGSRYD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60111-2023</t>
        </is>
      </c>
      <c r="B1233" s="1" t="n">
        <v>45258</v>
      </c>
      <c r="C1233" s="1" t="n">
        <v>45735</v>
      </c>
      <c r="D1233" t="inlineStr">
        <is>
          <t>KRONOBERGS LÄN</t>
        </is>
      </c>
      <c r="E1233" t="inlineStr">
        <is>
          <t>TINGSRYD</t>
        </is>
      </c>
      <c r="F1233" t="inlineStr">
        <is>
          <t>Övriga Aktiebolag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60136-2023</t>
        </is>
      </c>
      <c r="B1234" s="1" t="n">
        <v>45258</v>
      </c>
      <c r="C1234" s="1" t="n">
        <v>45735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60140-2023</t>
        </is>
      </c>
      <c r="B1235" s="1" t="n">
        <v>45258</v>
      </c>
      <c r="C1235" s="1" t="n">
        <v>45735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60131-2023</t>
        </is>
      </c>
      <c r="B1236" s="1" t="n">
        <v>45258</v>
      </c>
      <c r="C1236" s="1" t="n">
        <v>45735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60106-2023</t>
        </is>
      </c>
      <c r="B1237" s="1" t="n">
        <v>45258</v>
      </c>
      <c r="C1237" s="1" t="n">
        <v>45735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60103-2023</t>
        </is>
      </c>
      <c r="B1238" s="1" t="n">
        <v>45258</v>
      </c>
      <c r="C1238" s="1" t="n">
        <v>45735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60108-2023</t>
        </is>
      </c>
      <c r="B1239" s="1" t="n">
        <v>45258</v>
      </c>
      <c r="C1239" s="1" t="n">
        <v>45735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60125-2023</t>
        </is>
      </c>
      <c r="B1240" s="1" t="n">
        <v>45258</v>
      </c>
      <c r="C1240" s="1" t="n">
        <v>45735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60134-2023</t>
        </is>
      </c>
      <c r="B1241" s="1" t="n">
        <v>45258</v>
      </c>
      <c r="C1241" s="1" t="n">
        <v>45735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60317-2023</t>
        </is>
      </c>
      <c r="B1242" s="1" t="n">
        <v>45258</v>
      </c>
      <c r="C1242" s="1" t="n">
        <v>45735</v>
      </c>
      <c r="D1242" t="inlineStr">
        <is>
          <t>KRONOBERGS LÄN</t>
        </is>
      </c>
      <c r="E1242" t="inlineStr">
        <is>
          <t>TINGSRYD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60316-2023</t>
        </is>
      </c>
      <c r="B1243" s="1" t="n">
        <v>45258</v>
      </c>
      <c r="C1243" s="1" t="n">
        <v>45735</v>
      </c>
      <c r="D1243" t="inlineStr">
        <is>
          <t>KRONOBERGS LÄN</t>
        </is>
      </c>
      <c r="E1243" t="inlineStr">
        <is>
          <t>TINGSRYD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60720-2023</t>
        </is>
      </c>
      <c r="B1244" s="1" t="n">
        <v>45260</v>
      </c>
      <c r="C1244" s="1" t="n">
        <v>45735</v>
      </c>
      <c r="D1244" t="inlineStr">
        <is>
          <t>KRONOBERGS LÄN</t>
        </is>
      </c>
      <c r="E1244" t="inlineStr">
        <is>
          <t>TINGSRYD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60723-2023</t>
        </is>
      </c>
      <c r="B1245" s="1" t="n">
        <v>45260</v>
      </c>
      <c r="C1245" s="1" t="n">
        <v>45735</v>
      </c>
      <c r="D1245" t="inlineStr">
        <is>
          <t>KRONOBERGS LÄN</t>
        </is>
      </c>
      <c r="E1245" t="inlineStr">
        <is>
          <t>TINGSRYD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60744-2023</t>
        </is>
      </c>
      <c r="B1246" s="1" t="n">
        <v>45260</v>
      </c>
      <c r="C1246" s="1" t="n">
        <v>45735</v>
      </c>
      <c r="D1246" t="inlineStr">
        <is>
          <t>KRONOBERGS LÄN</t>
        </is>
      </c>
      <c r="E1246" t="inlineStr">
        <is>
          <t>TINGSRYD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60721-2023</t>
        </is>
      </c>
      <c r="B1247" s="1" t="n">
        <v>45260</v>
      </c>
      <c r="C1247" s="1" t="n">
        <v>45735</v>
      </c>
      <c r="D1247" t="inlineStr">
        <is>
          <t>KRONOBERGS LÄN</t>
        </is>
      </c>
      <c r="E1247" t="inlineStr">
        <is>
          <t>TINGSRYD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60759-2023</t>
        </is>
      </c>
      <c r="B1248" s="1" t="n">
        <v>45260</v>
      </c>
      <c r="C1248" s="1" t="n">
        <v>45735</v>
      </c>
      <c r="D1248" t="inlineStr">
        <is>
          <t>KRONOBERGS LÄN</t>
        </is>
      </c>
      <c r="E1248" t="inlineStr">
        <is>
          <t>TINGSRYD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60979-2023</t>
        </is>
      </c>
      <c r="B1249" s="1" t="n">
        <v>45261</v>
      </c>
      <c r="C1249" s="1" t="n">
        <v>45735</v>
      </c>
      <c r="D1249" t="inlineStr">
        <is>
          <t>KRONOBERGS LÄN</t>
        </is>
      </c>
      <c r="E1249" t="inlineStr">
        <is>
          <t>TINGSRYD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61017-2023</t>
        </is>
      </c>
      <c r="B1250" s="1" t="n">
        <v>45261</v>
      </c>
      <c r="C1250" s="1" t="n">
        <v>45735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61119-2023</t>
        </is>
      </c>
      <c r="B1251" s="1" t="n">
        <v>45261</v>
      </c>
      <c r="C1251" s="1" t="n">
        <v>45735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61118-2023</t>
        </is>
      </c>
      <c r="B1252" s="1" t="n">
        <v>45261</v>
      </c>
      <c r="C1252" s="1" t="n">
        <v>45735</v>
      </c>
      <c r="D1252" t="inlineStr">
        <is>
          <t>KRONOBERGS LÄN</t>
        </is>
      </c>
      <c r="E1252" t="inlineStr">
        <is>
          <t>TINGSRYD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61117-2023</t>
        </is>
      </c>
      <c r="B1253" s="1" t="n">
        <v>45261</v>
      </c>
      <c r="C1253" s="1" t="n">
        <v>45735</v>
      </c>
      <c r="D1253" t="inlineStr">
        <is>
          <t>KRONOBERGS LÄN</t>
        </is>
      </c>
      <c r="E1253" t="inlineStr">
        <is>
          <t>TINGSRYD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61194-2023</t>
        </is>
      </c>
      <c r="B1254" s="1" t="n">
        <v>45264</v>
      </c>
      <c r="C1254" s="1" t="n">
        <v>45735</v>
      </c>
      <c r="D1254" t="inlineStr">
        <is>
          <t>KRONOBERGS LÄN</t>
        </is>
      </c>
      <c r="E1254" t="inlineStr">
        <is>
          <t>TINGSRYD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61226-2023</t>
        </is>
      </c>
      <c r="B1255" s="1" t="n">
        <v>45264</v>
      </c>
      <c r="C1255" s="1" t="n">
        <v>45735</v>
      </c>
      <c r="D1255" t="inlineStr">
        <is>
          <t>KRONOBERGS LÄN</t>
        </is>
      </c>
      <c r="E1255" t="inlineStr">
        <is>
          <t>TINGSRYD</t>
        </is>
      </c>
      <c r="F1255" t="inlineStr">
        <is>
          <t>Övriga Aktiebolag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61230-2023</t>
        </is>
      </c>
      <c r="B1256" s="1" t="n">
        <v>45264</v>
      </c>
      <c r="C1256" s="1" t="n">
        <v>45735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7.6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61443-2023</t>
        </is>
      </c>
      <c r="B1257" s="1" t="n">
        <v>45264</v>
      </c>
      <c r="C1257" s="1" t="n">
        <v>45735</v>
      </c>
      <c r="D1257" t="inlineStr">
        <is>
          <t>KRONOBERGS LÄN</t>
        </is>
      </c>
      <c r="E1257" t="inlineStr">
        <is>
          <t>TINGSRYD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61445-2023</t>
        </is>
      </c>
      <c r="B1258" s="1" t="n">
        <v>45264</v>
      </c>
      <c r="C1258" s="1" t="n">
        <v>45735</v>
      </c>
      <c r="D1258" t="inlineStr">
        <is>
          <t>KRONOBERGS LÄN</t>
        </is>
      </c>
      <c r="E1258" t="inlineStr">
        <is>
          <t>TINGSRYD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61447-2023</t>
        </is>
      </c>
      <c r="B1259" s="1" t="n">
        <v>45264</v>
      </c>
      <c r="C1259" s="1" t="n">
        <v>45735</v>
      </c>
      <c r="D1259" t="inlineStr">
        <is>
          <t>KRONOBERGS LÄN</t>
        </is>
      </c>
      <c r="E1259" t="inlineStr">
        <is>
          <t>TINGSRYD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61442-2023</t>
        </is>
      </c>
      <c r="B1260" s="1" t="n">
        <v>45264</v>
      </c>
      <c r="C1260" s="1" t="n">
        <v>45735</v>
      </c>
      <c r="D1260" t="inlineStr">
        <is>
          <t>KRONOBERGS LÄN</t>
        </is>
      </c>
      <c r="E1260" t="inlineStr">
        <is>
          <t>TINGSRYD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61444-2023</t>
        </is>
      </c>
      <c r="B1261" s="1" t="n">
        <v>45264</v>
      </c>
      <c r="C1261" s="1" t="n">
        <v>45735</v>
      </c>
      <c r="D1261" t="inlineStr">
        <is>
          <t>KRONOBERGS LÄN</t>
        </is>
      </c>
      <c r="E1261" t="inlineStr">
        <is>
          <t>TINGSRYD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61842-2023</t>
        </is>
      </c>
      <c r="B1262" s="1" t="n">
        <v>45266</v>
      </c>
      <c r="C1262" s="1" t="n">
        <v>45735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61855-2023</t>
        </is>
      </c>
      <c r="B1263" s="1" t="n">
        <v>45266</v>
      </c>
      <c r="C1263" s="1" t="n">
        <v>45735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61851-2023</t>
        </is>
      </c>
      <c r="B1264" s="1" t="n">
        <v>45266</v>
      </c>
      <c r="C1264" s="1" t="n">
        <v>45735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62169-2023</t>
        </is>
      </c>
      <c r="B1265" s="1" t="n">
        <v>45266</v>
      </c>
      <c r="C1265" s="1" t="n">
        <v>45735</v>
      </c>
      <c r="D1265" t="inlineStr">
        <is>
          <t>KRONOBERGS LÄN</t>
        </is>
      </c>
      <c r="E1265" t="inlineStr">
        <is>
          <t>TINGSRYD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62223-2023</t>
        </is>
      </c>
      <c r="B1266" s="1" t="n">
        <v>45267</v>
      </c>
      <c r="C1266" s="1" t="n">
        <v>45735</v>
      </c>
      <c r="D1266" t="inlineStr">
        <is>
          <t>KRONOBERGS LÄN</t>
        </is>
      </c>
      <c r="E1266" t="inlineStr">
        <is>
          <t>TINGSRYD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62222-2023</t>
        </is>
      </c>
      <c r="B1267" s="1" t="n">
        <v>45267</v>
      </c>
      <c r="C1267" s="1" t="n">
        <v>45735</v>
      </c>
      <c r="D1267" t="inlineStr">
        <is>
          <t>KRONOBERGS LÄN</t>
        </is>
      </c>
      <c r="E1267" t="inlineStr">
        <is>
          <t>TINGSRYD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62209-2023</t>
        </is>
      </c>
      <c r="B1268" s="1" t="n">
        <v>45267</v>
      </c>
      <c r="C1268" s="1" t="n">
        <v>45735</v>
      </c>
      <c r="D1268" t="inlineStr">
        <is>
          <t>KRONOBERGS LÄN</t>
        </is>
      </c>
      <c r="E1268" t="inlineStr">
        <is>
          <t>TINGSRYD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62962-2023</t>
        </is>
      </c>
      <c r="B1269" s="1" t="n">
        <v>45271</v>
      </c>
      <c r="C1269" s="1" t="n">
        <v>45735</v>
      </c>
      <c r="D1269" t="inlineStr">
        <is>
          <t>KRONOBERGS LÄN</t>
        </is>
      </c>
      <c r="E1269" t="inlineStr">
        <is>
          <t>TINGSRYD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62975-2023</t>
        </is>
      </c>
      <c r="B1270" s="1" t="n">
        <v>45272</v>
      </c>
      <c r="C1270" s="1" t="n">
        <v>45735</v>
      </c>
      <c r="D1270" t="inlineStr">
        <is>
          <t>KRONOBERGS LÄN</t>
        </is>
      </c>
      <c r="E1270" t="inlineStr">
        <is>
          <t>TINGSRYD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63137-2023</t>
        </is>
      </c>
      <c r="B1271" s="1" t="n">
        <v>45273</v>
      </c>
      <c r="C1271" s="1" t="n">
        <v>45735</v>
      </c>
      <c r="D1271" t="inlineStr">
        <is>
          <t>KRONOBERGS LÄN</t>
        </is>
      </c>
      <c r="E1271" t="inlineStr">
        <is>
          <t>TINGSRYD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63444-2023</t>
        </is>
      </c>
      <c r="B1272" s="1" t="n">
        <v>45274</v>
      </c>
      <c r="C1272" s="1" t="n">
        <v>45735</v>
      </c>
      <c r="D1272" t="inlineStr">
        <is>
          <t>KRONOBERGS LÄN</t>
        </is>
      </c>
      <c r="E1272" t="inlineStr">
        <is>
          <t>TINGSRYD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63448-2023</t>
        </is>
      </c>
      <c r="B1273" s="1" t="n">
        <v>45274</v>
      </c>
      <c r="C1273" s="1" t="n">
        <v>45735</v>
      </c>
      <c r="D1273" t="inlineStr">
        <is>
          <t>KRONOBERGS LÄN</t>
        </is>
      </c>
      <c r="E1273" t="inlineStr">
        <is>
          <t>TINGSRYD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63458-2023</t>
        </is>
      </c>
      <c r="B1274" s="1" t="n">
        <v>45274</v>
      </c>
      <c r="C1274" s="1" t="n">
        <v>45735</v>
      </c>
      <c r="D1274" t="inlineStr">
        <is>
          <t>KRONOBERGS LÄN</t>
        </is>
      </c>
      <c r="E1274" t="inlineStr">
        <is>
          <t>TINGSRYD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63697-2023</t>
        </is>
      </c>
      <c r="B1275" s="1" t="n">
        <v>45275</v>
      </c>
      <c r="C1275" s="1" t="n">
        <v>45735</v>
      </c>
      <c r="D1275" t="inlineStr">
        <is>
          <t>KRONOBERGS LÄN</t>
        </is>
      </c>
      <c r="E1275" t="inlineStr">
        <is>
          <t>TINGSRYD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63838-2023</t>
        </is>
      </c>
      <c r="B1276" s="1" t="n">
        <v>45278</v>
      </c>
      <c r="C1276" s="1" t="n">
        <v>45735</v>
      </c>
      <c r="D1276" t="inlineStr">
        <is>
          <t>KRONOBERGS LÄN</t>
        </is>
      </c>
      <c r="E1276" t="inlineStr">
        <is>
          <t>TINGSRYD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63984-2023</t>
        </is>
      </c>
      <c r="B1277" s="1" t="n">
        <v>45278</v>
      </c>
      <c r="C1277" s="1" t="n">
        <v>45735</v>
      </c>
      <c r="D1277" t="inlineStr">
        <is>
          <t>KRONOBERGS LÄN</t>
        </is>
      </c>
      <c r="E1277" t="inlineStr">
        <is>
          <t>TINGSRYD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64069-2023</t>
        </is>
      </c>
      <c r="B1278" s="1" t="n">
        <v>45279</v>
      </c>
      <c r="C1278" s="1" t="n">
        <v>45735</v>
      </c>
      <c r="D1278" t="inlineStr">
        <is>
          <t>KRONOBERGS LÄN</t>
        </is>
      </c>
      <c r="E1278" t="inlineStr">
        <is>
          <t>TINGSRYD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64126-2023</t>
        </is>
      </c>
      <c r="B1279" s="1" t="n">
        <v>45279</v>
      </c>
      <c r="C1279" s="1" t="n">
        <v>45735</v>
      </c>
      <c r="D1279" t="inlineStr">
        <is>
          <t>KRONOBERGS LÄN</t>
        </is>
      </c>
      <c r="E1279" t="inlineStr">
        <is>
          <t>TINGSRYD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64125-2023</t>
        </is>
      </c>
      <c r="B1280" s="1" t="n">
        <v>45279</v>
      </c>
      <c r="C1280" s="1" t="n">
        <v>45735</v>
      </c>
      <c r="D1280" t="inlineStr">
        <is>
          <t>KRONOBERGS LÄN</t>
        </is>
      </c>
      <c r="E1280" t="inlineStr">
        <is>
          <t>TINGSRYD</t>
        </is>
      </c>
      <c r="G1280" t="n">
        <v>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65202-2023</t>
        </is>
      </c>
      <c r="B1281" s="1" t="n">
        <v>45289</v>
      </c>
      <c r="C1281" s="1" t="n">
        <v>45735</v>
      </c>
      <c r="D1281" t="inlineStr">
        <is>
          <t>KRONOBERGS LÄN</t>
        </is>
      </c>
      <c r="E1281" t="inlineStr">
        <is>
          <t>TINGSRYD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240-2024</t>
        </is>
      </c>
      <c r="B1282" s="1" t="n">
        <v>45294</v>
      </c>
      <c r="C1282" s="1" t="n">
        <v>45735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639-2024</t>
        </is>
      </c>
      <c r="B1283" s="1" t="n">
        <v>45299</v>
      </c>
      <c r="C1283" s="1" t="n">
        <v>45735</v>
      </c>
      <c r="D1283" t="inlineStr">
        <is>
          <t>KRONOBERGS LÄN</t>
        </is>
      </c>
      <c r="E1283" t="inlineStr">
        <is>
          <t>TINGSRYD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640-2024</t>
        </is>
      </c>
      <c r="B1284" s="1" t="n">
        <v>45299</v>
      </c>
      <c r="C1284" s="1" t="n">
        <v>45735</v>
      </c>
      <c r="D1284" t="inlineStr">
        <is>
          <t>KRONOBERGS LÄN</t>
        </is>
      </c>
      <c r="E1284" t="inlineStr">
        <is>
          <t>TINGSRYD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733-2024</t>
        </is>
      </c>
      <c r="B1285" s="1" t="n">
        <v>45300</v>
      </c>
      <c r="C1285" s="1" t="n">
        <v>45735</v>
      </c>
      <c r="D1285" t="inlineStr">
        <is>
          <t>KRONOBERGS LÄN</t>
        </is>
      </c>
      <c r="E1285" t="inlineStr">
        <is>
          <t>TINGSRYD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730-2024</t>
        </is>
      </c>
      <c r="B1286" s="1" t="n">
        <v>45300</v>
      </c>
      <c r="C1286" s="1" t="n">
        <v>45735</v>
      </c>
      <c r="D1286" t="inlineStr">
        <is>
          <t>KRONOBERGS LÄN</t>
        </is>
      </c>
      <c r="E1286" t="inlineStr">
        <is>
          <t>TINGSRYD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1209-2024</t>
        </is>
      </c>
      <c r="B1287" s="1" t="n">
        <v>45302</v>
      </c>
      <c r="C1287" s="1" t="n">
        <v>45735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1328-2024</t>
        </is>
      </c>
      <c r="B1288" s="1" t="n">
        <v>45303</v>
      </c>
      <c r="C1288" s="1" t="n">
        <v>45735</v>
      </c>
      <c r="D1288" t="inlineStr">
        <is>
          <t>KRONOBERGS LÄN</t>
        </is>
      </c>
      <c r="E1288" t="inlineStr">
        <is>
          <t>TINGSRYD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1336-2024</t>
        </is>
      </c>
      <c r="B1289" s="1" t="n">
        <v>45303</v>
      </c>
      <c r="C1289" s="1" t="n">
        <v>45735</v>
      </c>
      <c r="D1289" t="inlineStr">
        <is>
          <t>KRONOBERGS LÄN</t>
        </is>
      </c>
      <c r="E1289" t="inlineStr">
        <is>
          <t>TINGSRYD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1342-2024</t>
        </is>
      </c>
      <c r="B1290" s="1" t="n">
        <v>45303</v>
      </c>
      <c r="C1290" s="1" t="n">
        <v>45735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1291-2024</t>
        </is>
      </c>
      <c r="B1291" s="1" t="n">
        <v>45303</v>
      </c>
      <c r="C1291" s="1" t="n">
        <v>45735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1586-2024</t>
        </is>
      </c>
      <c r="B1292" s="1" t="n">
        <v>45306</v>
      </c>
      <c r="C1292" s="1" t="n">
        <v>45735</v>
      </c>
      <c r="D1292" t="inlineStr">
        <is>
          <t>KRONOBERGS LÄN</t>
        </is>
      </c>
      <c r="E1292" t="inlineStr">
        <is>
          <t>TINGSRYD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1708-2024</t>
        </is>
      </c>
      <c r="B1293" s="1" t="n">
        <v>45307</v>
      </c>
      <c r="C1293" s="1" t="n">
        <v>45735</v>
      </c>
      <c r="D1293" t="inlineStr">
        <is>
          <t>KRONOBERGS LÄN</t>
        </is>
      </c>
      <c r="E1293" t="inlineStr">
        <is>
          <t>TINGSRYD</t>
        </is>
      </c>
      <c r="F1293" t="inlineStr">
        <is>
          <t>Sveaskog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1707-2024</t>
        </is>
      </c>
      <c r="B1294" s="1" t="n">
        <v>45307</v>
      </c>
      <c r="C1294" s="1" t="n">
        <v>45735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1953-2024</t>
        </is>
      </c>
      <c r="B1295" s="1" t="n">
        <v>45308</v>
      </c>
      <c r="C1295" s="1" t="n">
        <v>45735</v>
      </c>
      <c r="D1295" t="inlineStr">
        <is>
          <t>KRONOBERGS LÄN</t>
        </is>
      </c>
      <c r="E1295" t="inlineStr">
        <is>
          <t>TINGSRYD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1957-2024</t>
        </is>
      </c>
      <c r="B1296" s="1" t="n">
        <v>45308</v>
      </c>
      <c r="C1296" s="1" t="n">
        <v>45735</v>
      </c>
      <c r="D1296" t="inlineStr">
        <is>
          <t>KRONOBERGS LÄN</t>
        </is>
      </c>
      <c r="E1296" t="inlineStr">
        <is>
          <t>TINGSRYD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1947-2024</t>
        </is>
      </c>
      <c r="B1297" s="1" t="n">
        <v>45308</v>
      </c>
      <c r="C1297" s="1" t="n">
        <v>45735</v>
      </c>
      <c r="D1297" t="inlineStr">
        <is>
          <t>KRONOBERGS LÄN</t>
        </is>
      </c>
      <c r="E1297" t="inlineStr">
        <is>
          <t>TINGSRYD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2293-2024</t>
        </is>
      </c>
      <c r="B1298" s="1" t="n">
        <v>45310</v>
      </c>
      <c r="C1298" s="1" t="n">
        <v>45735</v>
      </c>
      <c r="D1298" t="inlineStr">
        <is>
          <t>KRONOBERGS LÄN</t>
        </is>
      </c>
      <c r="E1298" t="inlineStr">
        <is>
          <t>TINGSRYD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2282-2024</t>
        </is>
      </c>
      <c r="B1299" s="1" t="n">
        <v>45310</v>
      </c>
      <c r="C1299" s="1" t="n">
        <v>45735</v>
      </c>
      <c r="D1299" t="inlineStr">
        <is>
          <t>KRONOBERGS LÄN</t>
        </is>
      </c>
      <c r="E1299" t="inlineStr">
        <is>
          <t>TINGSRYD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2343-2024</t>
        </is>
      </c>
      <c r="B1300" s="1" t="n">
        <v>45310</v>
      </c>
      <c r="C1300" s="1" t="n">
        <v>45735</v>
      </c>
      <c r="D1300" t="inlineStr">
        <is>
          <t>KRONOBERGS LÄN</t>
        </is>
      </c>
      <c r="E1300" t="inlineStr">
        <is>
          <t>TINGSRYD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2476-2024</t>
        </is>
      </c>
      <c r="B1301" s="1" t="n">
        <v>45313</v>
      </c>
      <c r="C1301" s="1" t="n">
        <v>45735</v>
      </c>
      <c r="D1301" t="inlineStr">
        <is>
          <t>KRONOBERGS LÄN</t>
        </is>
      </c>
      <c r="E1301" t="inlineStr">
        <is>
          <t>TINGSRYD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2730-2024</t>
        </is>
      </c>
      <c r="B1302" s="1" t="n">
        <v>45314</v>
      </c>
      <c r="C1302" s="1" t="n">
        <v>45735</v>
      </c>
      <c r="D1302" t="inlineStr">
        <is>
          <t>KRONOBERGS LÄN</t>
        </is>
      </c>
      <c r="E1302" t="inlineStr">
        <is>
          <t>TINGSRYD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2808-2024</t>
        </is>
      </c>
      <c r="B1303" s="1" t="n">
        <v>45314</v>
      </c>
      <c r="C1303" s="1" t="n">
        <v>45735</v>
      </c>
      <c r="D1303" t="inlineStr">
        <is>
          <t>KRONOBERGS LÄN</t>
        </is>
      </c>
      <c r="E1303" t="inlineStr">
        <is>
          <t>TINGSRYD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2812-2024</t>
        </is>
      </c>
      <c r="B1304" s="1" t="n">
        <v>45314</v>
      </c>
      <c r="C1304" s="1" t="n">
        <v>45735</v>
      </c>
      <c r="D1304" t="inlineStr">
        <is>
          <t>KRONOBERGS LÄN</t>
        </is>
      </c>
      <c r="E1304" t="inlineStr">
        <is>
          <t>TINGSRYD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2806-2024</t>
        </is>
      </c>
      <c r="B1305" s="1" t="n">
        <v>45314</v>
      </c>
      <c r="C1305" s="1" t="n">
        <v>45735</v>
      </c>
      <c r="D1305" t="inlineStr">
        <is>
          <t>KRONOBERGS LÄN</t>
        </is>
      </c>
      <c r="E1305" t="inlineStr">
        <is>
          <t>TINGSRYD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2810-2024</t>
        </is>
      </c>
      <c r="B1306" s="1" t="n">
        <v>45314</v>
      </c>
      <c r="C1306" s="1" t="n">
        <v>45735</v>
      </c>
      <c r="D1306" t="inlineStr">
        <is>
          <t>KRONOBERGS LÄN</t>
        </is>
      </c>
      <c r="E1306" t="inlineStr">
        <is>
          <t>TINGSRYD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2813-2024</t>
        </is>
      </c>
      <c r="B1307" s="1" t="n">
        <v>45314</v>
      </c>
      <c r="C1307" s="1" t="n">
        <v>45735</v>
      </c>
      <c r="D1307" t="inlineStr">
        <is>
          <t>KRONOBERGS LÄN</t>
        </is>
      </c>
      <c r="E1307" t="inlineStr">
        <is>
          <t>TINGSRYD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3488-2024</t>
        </is>
      </c>
      <c r="B1308" s="1" t="n">
        <v>45320</v>
      </c>
      <c r="C1308" s="1" t="n">
        <v>45735</v>
      </c>
      <c r="D1308" t="inlineStr">
        <is>
          <t>KRONOBERGS LÄN</t>
        </is>
      </c>
      <c r="E1308" t="inlineStr">
        <is>
          <t>TINGSRYD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3702-2024</t>
        </is>
      </c>
      <c r="B1309" s="1" t="n">
        <v>45321</v>
      </c>
      <c r="C1309" s="1" t="n">
        <v>45735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3709-2024</t>
        </is>
      </c>
      <c r="B1310" s="1" t="n">
        <v>45321</v>
      </c>
      <c r="C1310" s="1" t="n">
        <v>45735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3865-2024</t>
        </is>
      </c>
      <c r="B1311" s="1" t="n">
        <v>45322</v>
      </c>
      <c r="C1311" s="1" t="n">
        <v>45735</v>
      </c>
      <c r="D1311" t="inlineStr">
        <is>
          <t>KRONOBERGS LÄN</t>
        </is>
      </c>
      <c r="E1311" t="inlineStr">
        <is>
          <t>TINGSRYD</t>
        </is>
      </c>
      <c r="F1311" t="inlineStr">
        <is>
          <t>Övriga Aktiebolag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4063-2024</t>
        </is>
      </c>
      <c r="B1312" s="1" t="n">
        <v>45323</v>
      </c>
      <c r="C1312" s="1" t="n">
        <v>45735</v>
      </c>
      <c r="D1312" t="inlineStr">
        <is>
          <t>KRONOBERGS LÄN</t>
        </is>
      </c>
      <c r="E1312" t="inlineStr">
        <is>
          <t>TINGSRYD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4076-2024</t>
        </is>
      </c>
      <c r="B1313" s="1" t="n">
        <v>45323</v>
      </c>
      <c r="C1313" s="1" t="n">
        <v>45735</v>
      </c>
      <c r="D1313" t="inlineStr">
        <is>
          <t>KRONOBERGS LÄN</t>
        </is>
      </c>
      <c r="E1313" t="inlineStr">
        <is>
          <t>TINGSRYD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4077-2024</t>
        </is>
      </c>
      <c r="B1314" s="1" t="n">
        <v>45323</v>
      </c>
      <c r="C1314" s="1" t="n">
        <v>45735</v>
      </c>
      <c r="D1314" t="inlineStr">
        <is>
          <t>KRONOBERGS LÄN</t>
        </is>
      </c>
      <c r="E1314" t="inlineStr">
        <is>
          <t>TINGSRYD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4213-2024</t>
        </is>
      </c>
      <c r="B1315" s="1" t="n">
        <v>45324</v>
      </c>
      <c r="C1315" s="1" t="n">
        <v>45735</v>
      </c>
      <c r="D1315" t="inlineStr">
        <is>
          <t>KRONOBERGS LÄN</t>
        </is>
      </c>
      <c r="E1315" t="inlineStr">
        <is>
          <t>TINGSRYD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4357-2024</t>
        </is>
      </c>
      <c r="B1316" s="1" t="n">
        <v>45325</v>
      </c>
      <c r="C1316" s="1" t="n">
        <v>45735</v>
      </c>
      <c r="D1316" t="inlineStr">
        <is>
          <t>KRONOBERGS LÄN</t>
        </is>
      </c>
      <c r="E1316" t="inlineStr">
        <is>
          <t>TINGSRYD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4365-2024</t>
        </is>
      </c>
      <c r="B1317" s="1" t="n">
        <v>45325</v>
      </c>
      <c r="C1317" s="1" t="n">
        <v>45735</v>
      </c>
      <c r="D1317" t="inlineStr">
        <is>
          <t>KRONOBERGS LÄN</t>
        </is>
      </c>
      <c r="E1317" t="inlineStr">
        <is>
          <t>TINGSRYD</t>
        </is>
      </c>
      <c r="F1317" t="inlineStr">
        <is>
          <t>Sveaskog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4364-2024</t>
        </is>
      </c>
      <c r="B1318" s="1" t="n">
        <v>45325</v>
      </c>
      <c r="C1318" s="1" t="n">
        <v>45735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4419-2024</t>
        </is>
      </c>
      <c r="B1319" s="1" t="n">
        <v>45327</v>
      </c>
      <c r="C1319" s="1" t="n">
        <v>45735</v>
      </c>
      <c r="D1319" t="inlineStr">
        <is>
          <t>KRONOBERGS LÄN</t>
        </is>
      </c>
      <c r="E1319" t="inlineStr">
        <is>
          <t>TINGSRYD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4572-2024</t>
        </is>
      </c>
      <c r="B1320" s="1" t="n">
        <v>45327</v>
      </c>
      <c r="C1320" s="1" t="n">
        <v>45735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4570-2024</t>
        </is>
      </c>
      <c r="B1321" s="1" t="n">
        <v>45327</v>
      </c>
      <c r="C1321" s="1" t="n">
        <v>45735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4571-2024</t>
        </is>
      </c>
      <c r="B1322" s="1" t="n">
        <v>45327</v>
      </c>
      <c r="C1322" s="1" t="n">
        <v>45735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4600-2024</t>
        </is>
      </c>
      <c r="B1323" s="1" t="n">
        <v>45328</v>
      </c>
      <c r="C1323" s="1" t="n">
        <v>45735</v>
      </c>
      <c r="D1323" t="inlineStr">
        <is>
          <t>KRONOBERGS LÄN</t>
        </is>
      </c>
      <c r="E1323" t="inlineStr">
        <is>
          <t>TINGSRYD</t>
        </is>
      </c>
      <c r="F1323" t="inlineStr">
        <is>
          <t>Övriga Aktiebolag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4601-2024</t>
        </is>
      </c>
      <c r="B1324" s="1" t="n">
        <v>45328</v>
      </c>
      <c r="C1324" s="1" t="n">
        <v>45735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4785-2024</t>
        </is>
      </c>
      <c r="B1325" s="1" t="n">
        <v>45328</v>
      </c>
      <c r="C1325" s="1" t="n">
        <v>45735</v>
      </c>
      <c r="D1325" t="inlineStr">
        <is>
          <t>KRONOBERGS LÄN</t>
        </is>
      </c>
      <c r="E1325" t="inlineStr">
        <is>
          <t>TINGSRYD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4795-2024</t>
        </is>
      </c>
      <c r="B1326" s="1" t="n">
        <v>45328</v>
      </c>
      <c r="C1326" s="1" t="n">
        <v>45735</v>
      </c>
      <c r="D1326" t="inlineStr">
        <is>
          <t>KRONOBERGS LÄN</t>
        </is>
      </c>
      <c r="E1326" t="inlineStr">
        <is>
          <t>TINGSRYD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4840-2024</t>
        </is>
      </c>
      <c r="B1327" s="1" t="n">
        <v>45329</v>
      </c>
      <c r="C1327" s="1" t="n">
        <v>45735</v>
      </c>
      <c r="D1327" t="inlineStr">
        <is>
          <t>KRONOBERGS LÄN</t>
        </is>
      </c>
      <c r="E1327" t="inlineStr">
        <is>
          <t>TINGSRYD</t>
        </is>
      </c>
      <c r="F1327" t="inlineStr">
        <is>
          <t>Kommuner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4844-2024</t>
        </is>
      </c>
      <c r="B1328" s="1" t="n">
        <v>45329</v>
      </c>
      <c r="C1328" s="1" t="n">
        <v>45735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4838-2024</t>
        </is>
      </c>
      <c r="B1329" s="1" t="n">
        <v>45329</v>
      </c>
      <c r="C1329" s="1" t="n">
        <v>45735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4850-2024</t>
        </is>
      </c>
      <c r="B1330" s="1" t="n">
        <v>45329</v>
      </c>
      <c r="C1330" s="1" t="n">
        <v>45735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4878-2024</t>
        </is>
      </c>
      <c r="B1331" s="1" t="n">
        <v>45329</v>
      </c>
      <c r="C1331" s="1" t="n">
        <v>45735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4851-2024</t>
        </is>
      </c>
      <c r="B1332" s="1" t="n">
        <v>45329</v>
      </c>
      <c r="C1332" s="1" t="n">
        <v>45735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5204-2024</t>
        </is>
      </c>
      <c r="B1333" s="1" t="n">
        <v>45330</v>
      </c>
      <c r="C1333" s="1" t="n">
        <v>45735</v>
      </c>
      <c r="D1333" t="inlineStr">
        <is>
          <t>KRONOBERGS LÄN</t>
        </is>
      </c>
      <c r="E1333" t="inlineStr">
        <is>
          <t>TINGSRYD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5205-2024</t>
        </is>
      </c>
      <c r="B1334" s="1" t="n">
        <v>45330</v>
      </c>
      <c r="C1334" s="1" t="n">
        <v>45735</v>
      </c>
      <c r="D1334" t="inlineStr">
        <is>
          <t>KRONOBERGS LÄN</t>
        </is>
      </c>
      <c r="E1334" t="inlineStr">
        <is>
          <t>TINGSRYD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5207-2024</t>
        </is>
      </c>
      <c r="B1335" s="1" t="n">
        <v>45330</v>
      </c>
      <c r="C1335" s="1" t="n">
        <v>45735</v>
      </c>
      <c r="D1335" t="inlineStr">
        <is>
          <t>KRONOBERGS LÄN</t>
        </is>
      </c>
      <c r="E1335" t="inlineStr">
        <is>
          <t>TINGSRYD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5295-2024</t>
        </is>
      </c>
      <c r="B1336" s="1" t="n">
        <v>45331</v>
      </c>
      <c r="C1336" s="1" t="n">
        <v>45735</v>
      </c>
      <c r="D1336" t="inlineStr">
        <is>
          <t>KRONOBERGS LÄN</t>
        </is>
      </c>
      <c r="E1336" t="inlineStr">
        <is>
          <t>TINGSRYD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5292-2024</t>
        </is>
      </c>
      <c r="B1337" s="1" t="n">
        <v>45331</v>
      </c>
      <c r="C1337" s="1" t="n">
        <v>45735</v>
      </c>
      <c r="D1337" t="inlineStr">
        <is>
          <t>KRONOBERGS LÄN</t>
        </is>
      </c>
      <c r="E1337" t="inlineStr">
        <is>
          <t>TINGSRYD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5293-2024</t>
        </is>
      </c>
      <c r="B1338" s="1" t="n">
        <v>45331</v>
      </c>
      <c r="C1338" s="1" t="n">
        <v>45735</v>
      </c>
      <c r="D1338" t="inlineStr">
        <is>
          <t>KRONOBERGS LÄN</t>
        </is>
      </c>
      <c r="E1338" t="inlineStr">
        <is>
          <t>TINGSRYD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5380-2024</t>
        </is>
      </c>
      <c r="B1339" s="1" t="n">
        <v>45331</v>
      </c>
      <c r="C1339" s="1" t="n">
        <v>45735</v>
      </c>
      <c r="D1339" t="inlineStr">
        <is>
          <t>KRONOBERGS LÄN</t>
        </is>
      </c>
      <c r="E1339" t="inlineStr">
        <is>
          <t>TINGSRYD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5294-2024</t>
        </is>
      </c>
      <c r="B1340" s="1" t="n">
        <v>45331</v>
      </c>
      <c r="C1340" s="1" t="n">
        <v>45735</v>
      </c>
      <c r="D1340" t="inlineStr">
        <is>
          <t>KRONOBERGS LÄN</t>
        </is>
      </c>
      <c r="E1340" t="inlineStr">
        <is>
          <t>TINGSRYD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6311-2024</t>
        </is>
      </c>
      <c r="B1341" s="1" t="n">
        <v>45338</v>
      </c>
      <c r="C1341" s="1" t="n">
        <v>45735</v>
      </c>
      <c r="D1341" t="inlineStr">
        <is>
          <t>KRONOBERGS LÄN</t>
        </is>
      </c>
      <c r="E1341" t="inlineStr">
        <is>
          <t>TINGSRYD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6416-2024</t>
        </is>
      </c>
      <c r="B1342" s="1" t="n">
        <v>45338</v>
      </c>
      <c r="C1342" s="1" t="n">
        <v>45735</v>
      </c>
      <c r="D1342" t="inlineStr">
        <is>
          <t>KRONOBERGS LÄN</t>
        </is>
      </c>
      <c r="E1342" t="inlineStr">
        <is>
          <t>TINGSRYD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6364-2024</t>
        </is>
      </c>
      <c r="B1343" s="1" t="n">
        <v>45338</v>
      </c>
      <c r="C1343" s="1" t="n">
        <v>45735</v>
      </c>
      <c r="D1343" t="inlineStr">
        <is>
          <t>KRONOBERGS LÄN</t>
        </is>
      </c>
      <c r="E1343" t="inlineStr">
        <is>
          <t>TINGSRYD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6550-2024</t>
        </is>
      </c>
      <c r="B1344" s="1" t="n">
        <v>45341</v>
      </c>
      <c r="C1344" s="1" t="n">
        <v>45735</v>
      </c>
      <c r="D1344" t="inlineStr">
        <is>
          <t>KRONOBERGS LÄN</t>
        </is>
      </c>
      <c r="E1344" t="inlineStr">
        <is>
          <t>TINGSRYD</t>
        </is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6762-2024</t>
        </is>
      </c>
      <c r="B1345" s="1" t="n">
        <v>45342</v>
      </c>
      <c r="C1345" s="1" t="n">
        <v>45735</v>
      </c>
      <c r="D1345" t="inlineStr">
        <is>
          <t>KRONOBERGS LÄN</t>
        </is>
      </c>
      <c r="E1345" t="inlineStr">
        <is>
          <t>TINGSRYD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6766-2024</t>
        </is>
      </c>
      <c r="B1346" s="1" t="n">
        <v>45342</v>
      </c>
      <c r="C1346" s="1" t="n">
        <v>45735</v>
      </c>
      <c r="D1346" t="inlineStr">
        <is>
          <t>KRONOBERGS LÄN</t>
        </is>
      </c>
      <c r="E1346" t="inlineStr">
        <is>
          <t>TINGSRYD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6836-2024</t>
        </is>
      </c>
      <c r="B1347" s="1" t="n">
        <v>45342</v>
      </c>
      <c r="C1347" s="1" t="n">
        <v>45735</v>
      </c>
      <c r="D1347" t="inlineStr">
        <is>
          <t>KRONOBERGS LÄN</t>
        </is>
      </c>
      <c r="E1347" t="inlineStr">
        <is>
          <t>TINGSRYD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6842-2024</t>
        </is>
      </c>
      <c r="B1348" s="1" t="n">
        <v>45342</v>
      </c>
      <c r="C1348" s="1" t="n">
        <v>45735</v>
      </c>
      <c r="D1348" t="inlineStr">
        <is>
          <t>KRONOBERGS LÄN</t>
        </is>
      </c>
      <c r="E1348" t="inlineStr">
        <is>
          <t>TINGSRYD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6837-2024</t>
        </is>
      </c>
      <c r="B1349" s="1" t="n">
        <v>45342</v>
      </c>
      <c r="C1349" s="1" t="n">
        <v>45735</v>
      </c>
      <c r="D1349" t="inlineStr">
        <is>
          <t>KRONOBERGS LÄN</t>
        </is>
      </c>
      <c r="E1349" t="inlineStr">
        <is>
          <t>TINGSRYD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7209-2024</t>
        </is>
      </c>
      <c r="B1350" s="1" t="n">
        <v>45344</v>
      </c>
      <c r="C1350" s="1" t="n">
        <v>45735</v>
      </c>
      <c r="D1350" t="inlineStr">
        <is>
          <t>KRONOBERGS LÄN</t>
        </is>
      </c>
      <c r="E1350" t="inlineStr">
        <is>
          <t>TINGSRYD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7270-2024</t>
        </is>
      </c>
      <c r="B1351" s="1" t="n">
        <v>45344</v>
      </c>
      <c r="C1351" s="1" t="n">
        <v>45735</v>
      </c>
      <c r="D1351" t="inlineStr">
        <is>
          <t>KRONOBERGS LÄN</t>
        </is>
      </c>
      <c r="E1351" t="inlineStr">
        <is>
          <t>TINGSRYD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7176-2024</t>
        </is>
      </c>
      <c r="B1352" s="1" t="n">
        <v>45344</v>
      </c>
      <c r="C1352" s="1" t="n">
        <v>45735</v>
      </c>
      <c r="D1352" t="inlineStr">
        <is>
          <t>KRONOBERGS LÄN</t>
        </is>
      </c>
      <c r="E1352" t="inlineStr">
        <is>
          <t>TINGSRYD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7307-2024</t>
        </is>
      </c>
      <c r="B1353" s="1" t="n">
        <v>45345</v>
      </c>
      <c r="C1353" s="1" t="n">
        <v>45735</v>
      </c>
      <c r="D1353" t="inlineStr">
        <is>
          <t>KRONOBERGS LÄN</t>
        </is>
      </c>
      <c r="E1353" t="inlineStr">
        <is>
          <t>TINGSRYD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7310-2024</t>
        </is>
      </c>
      <c r="B1354" s="1" t="n">
        <v>45345</v>
      </c>
      <c r="C1354" s="1" t="n">
        <v>45735</v>
      </c>
      <c r="D1354" t="inlineStr">
        <is>
          <t>KRONOBERGS LÄN</t>
        </is>
      </c>
      <c r="E1354" t="inlineStr">
        <is>
          <t>TINGSRYD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7797-2024</t>
        </is>
      </c>
      <c r="B1355" s="1" t="n">
        <v>45349</v>
      </c>
      <c r="C1355" s="1" t="n">
        <v>45735</v>
      </c>
      <c r="D1355" t="inlineStr">
        <is>
          <t>KRONOBERGS LÄN</t>
        </is>
      </c>
      <c r="E1355" t="inlineStr">
        <is>
          <t>TINGSRYD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7833-2024</t>
        </is>
      </c>
      <c r="B1356" s="1" t="n">
        <v>45349</v>
      </c>
      <c r="C1356" s="1" t="n">
        <v>45735</v>
      </c>
      <c r="D1356" t="inlineStr">
        <is>
          <t>KRONOBERGS LÄN</t>
        </is>
      </c>
      <c r="E1356" t="inlineStr">
        <is>
          <t>TINGSRYD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8362-2024</t>
        </is>
      </c>
      <c r="B1357" s="1" t="n">
        <v>45352</v>
      </c>
      <c r="C1357" s="1" t="n">
        <v>45735</v>
      </c>
      <c r="D1357" t="inlineStr">
        <is>
          <t>KRONOBERGS LÄN</t>
        </is>
      </c>
      <c r="E1357" t="inlineStr">
        <is>
          <t>TINGSRYD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8333-2024</t>
        </is>
      </c>
      <c r="B1358" s="1" t="n">
        <v>45352</v>
      </c>
      <c r="C1358" s="1" t="n">
        <v>45735</v>
      </c>
      <c r="D1358" t="inlineStr">
        <is>
          <t>KRONOBERGS LÄN</t>
        </is>
      </c>
      <c r="E1358" t="inlineStr">
        <is>
          <t>TINGSRYD</t>
        </is>
      </c>
      <c r="G1358" t="n">
        <v>8.6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8383-2024</t>
        </is>
      </c>
      <c r="B1359" s="1" t="n">
        <v>45352</v>
      </c>
      <c r="C1359" s="1" t="n">
        <v>45735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8777-2024</t>
        </is>
      </c>
      <c r="B1360" s="1" t="n">
        <v>45356</v>
      </c>
      <c r="C1360" s="1" t="n">
        <v>45735</v>
      </c>
      <c r="D1360" t="inlineStr">
        <is>
          <t>KRONOBERGS LÄN</t>
        </is>
      </c>
      <c r="E1360" t="inlineStr">
        <is>
          <t>TINGSRYD</t>
        </is>
      </c>
      <c r="F1360" t="inlineStr">
        <is>
          <t>Övriga Aktiebolag</t>
        </is>
      </c>
      <c r="G1360" t="n">
        <v>7.3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8848-2024</t>
        </is>
      </c>
      <c r="B1361" s="1" t="n">
        <v>45356</v>
      </c>
      <c r="C1361" s="1" t="n">
        <v>45735</v>
      </c>
      <c r="D1361" t="inlineStr">
        <is>
          <t>KRONOBERGS LÄN</t>
        </is>
      </c>
      <c r="E1361" t="inlineStr">
        <is>
          <t>TINGSRYD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8948-2024</t>
        </is>
      </c>
      <c r="B1362" s="1" t="n">
        <v>45357</v>
      </c>
      <c r="C1362" s="1" t="n">
        <v>45735</v>
      </c>
      <c r="D1362" t="inlineStr">
        <is>
          <t>KRONOBERGS LÄN</t>
        </is>
      </c>
      <c r="E1362" t="inlineStr">
        <is>
          <t>TINGSRYD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9132-2024</t>
        </is>
      </c>
      <c r="B1363" s="1" t="n">
        <v>45358</v>
      </c>
      <c r="C1363" s="1" t="n">
        <v>45735</v>
      </c>
      <c r="D1363" t="inlineStr">
        <is>
          <t>KRONOBERGS LÄN</t>
        </is>
      </c>
      <c r="E1363" t="inlineStr">
        <is>
          <t>TINGSRYD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9447-2024</t>
        </is>
      </c>
      <c r="B1364" s="1" t="n">
        <v>45359</v>
      </c>
      <c r="C1364" s="1" t="n">
        <v>45735</v>
      </c>
      <c r="D1364" t="inlineStr">
        <is>
          <t>KRONOBERGS LÄN</t>
        </is>
      </c>
      <c r="E1364" t="inlineStr">
        <is>
          <t>TINGSRYD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45735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45735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45735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45735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45735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45735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45735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45735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45735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45735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45735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45735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45735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45735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45735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45735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45735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45735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45735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45735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45735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45735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45735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45735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45735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45735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45735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45735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45735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45735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45735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45735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45735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45735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45735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45735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45735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45735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45735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45735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45735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45735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45735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45735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45735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45735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45735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45735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45735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45735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45735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45735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45735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45735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45735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45735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45735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45735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45735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45735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45735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45735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45735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45735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45735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45735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45735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45735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45735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45735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45735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45735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45735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45735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45735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45735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45735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45735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45735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45735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45735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45735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45735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45735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45735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45735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45735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45735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45735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45735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45735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45735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45735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45735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45735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45735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45735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45735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45735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45735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45735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45735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45735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45735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45735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45735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45735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45735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45735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45735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45735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45735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45735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45735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45735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45735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45735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45735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45735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45735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45735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45735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45735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45735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45735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45735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45735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45735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45735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45735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45735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45735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45735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45735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45735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45735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45735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45735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45735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45735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45735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45735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45735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45735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45735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45735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45735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45735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45735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45735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45735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45735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45735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45735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45735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45735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45735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45735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45735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45735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45735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45735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45735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45735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45735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45735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45735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45735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45735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45735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45735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45735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45735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45735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45735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45735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45735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45735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45735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45735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45735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45735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45735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45735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45735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45735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45735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45735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45735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45735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45735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45735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45735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45735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45735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45735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45735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45735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45735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45735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45735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45735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45735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45735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45735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45735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45735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45735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45735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45735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45735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45735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45735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45735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45735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45735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45735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45735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45735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45735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45735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45735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45735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45735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45735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45735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45735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45735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45735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45735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45735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45735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45735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45735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45735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45735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45735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45735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45735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45735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45735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45735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45735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45735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45735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45735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45735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45735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45735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45735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45735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45735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45735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45735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45735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45735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45735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45735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45735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45735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45735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45735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45735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45735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45735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45735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45735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45735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45735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45735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45735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45735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45735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50211-2024</t>
        </is>
      </c>
      <c r="B1638" s="1" t="n">
        <v>45600</v>
      </c>
      <c r="C1638" s="1" t="n">
        <v>45735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50215-2024</t>
        </is>
      </c>
      <c r="B1639" s="1" t="n">
        <v>45600</v>
      </c>
      <c r="C1639" s="1" t="n">
        <v>45735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50217-2024</t>
        </is>
      </c>
      <c r="B1640" s="1" t="n">
        <v>45600</v>
      </c>
      <c r="C1640" s="1" t="n">
        <v>45735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50222-2024</t>
        </is>
      </c>
      <c r="B1641" s="1" t="n">
        <v>45600</v>
      </c>
      <c r="C1641" s="1" t="n">
        <v>45735</v>
      </c>
      <c r="D1641" t="inlineStr">
        <is>
          <t>KRONOBERGS LÄN</t>
        </is>
      </c>
      <c r="E1641" t="inlineStr">
        <is>
          <t>TINGSRYD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50146-2024</t>
        </is>
      </c>
      <c r="B1642" s="1" t="n">
        <v>45600</v>
      </c>
      <c r="C1642" s="1" t="n">
        <v>45735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50212-2024</t>
        </is>
      </c>
      <c r="B1643" s="1" t="n">
        <v>45600</v>
      </c>
      <c r="C1643" s="1" t="n">
        <v>45735</v>
      </c>
      <c r="D1643" t="inlineStr">
        <is>
          <t>KRONOBERGS LÄN</t>
        </is>
      </c>
      <c r="E1643" t="inlineStr">
        <is>
          <t>TINGSRYD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50635-2024</t>
        </is>
      </c>
      <c r="B1644" s="1" t="n">
        <v>45601</v>
      </c>
      <c r="C1644" s="1" t="n">
        <v>45735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50631-2024</t>
        </is>
      </c>
      <c r="B1645" s="1" t="n">
        <v>45601</v>
      </c>
      <c r="C1645" s="1" t="n">
        <v>45735</v>
      </c>
      <c r="D1645" t="inlineStr">
        <is>
          <t>KRONOBERGS LÄN</t>
        </is>
      </c>
      <c r="E1645" t="inlineStr">
        <is>
          <t>TINGSRYD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50817-2024</t>
        </is>
      </c>
      <c r="B1646" s="1" t="n">
        <v>45601</v>
      </c>
      <c r="C1646" s="1" t="n">
        <v>45735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50903-2024</t>
        </is>
      </c>
      <c r="B1647" s="1" t="n">
        <v>45602</v>
      </c>
      <c r="C1647" s="1" t="n">
        <v>45735</v>
      </c>
      <c r="D1647" t="inlineStr">
        <is>
          <t>KRONOBERGS LÄN</t>
        </is>
      </c>
      <c r="E1647" t="inlineStr">
        <is>
          <t>TINGSRYD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50798-2024</t>
        </is>
      </c>
      <c r="B1648" s="1" t="n">
        <v>45602</v>
      </c>
      <c r="C1648" s="1" t="n">
        <v>45735</v>
      </c>
      <c r="D1648" t="inlineStr">
        <is>
          <t>KRONOBERGS LÄN</t>
        </is>
      </c>
      <c r="E1648" t="inlineStr">
        <is>
          <t>TINGSRYD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45735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52178-2024</t>
        </is>
      </c>
      <c r="B1650" s="1" t="n">
        <v>45608</v>
      </c>
      <c r="C1650" s="1" t="n">
        <v>45735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52168-2024</t>
        </is>
      </c>
      <c r="B1651" s="1" t="n">
        <v>45608</v>
      </c>
      <c r="C1651" s="1" t="n">
        <v>45735</v>
      </c>
      <c r="D1651" t="inlineStr">
        <is>
          <t>KRONOBERGS LÄN</t>
        </is>
      </c>
      <c r="E1651" t="inlineStr">
        <is>
          <t>TINGSRYD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45735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45735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53278-2024</t>
        </is>
      </c>
      <c r="B1654" s="1" t="n">
        <v>45614</v>
      </c>
      <c r="C1654" s="1" t="n">
        <v>45735</v>
      </c>
      <c r="D1654" t="inlineStr">
        <is>
          <t>KRONOBERGS LÄN</t>
        </is>
      </c>
      <c r="E1654" t="inlineStr">
        <is>
          <t>TINGSRYD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53256-2024</t>
        </is>
      </c>
      <c r="B1655" s="1" t="n">
        <v>45614</v>
      </c>
      <c r="C1655" s="1" t="n">
        <v>45735</v>
      </c>
      <c r="D1655" t="inlineStr">
        <is>
          <t>KRONOBERGS LÄN</t>
        </is>
      </c>
      <c r="E1655" t="inlineStr">
        <is>
          <t>TINGSRYD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53279-2024</t>
        </is>
      </c>
      <c r="B1656" s="1" t="n">
        <v>45614</v>
      </c>
      <c r="C1656" s="1" t="n">
        <v>45735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53766-2024</t>
        </is>
      </c>
      <c r="B1657" s="1" t="n">
        <v>45615</v>
      </c>
      <c r="C1657" s="1" t="n">
        <v>45735</v>
      </c>
      <c r="D1657" t="inlineStr">
        <is>
          <t>KRONOBERGS LÄN</t>
        </is>
      </c>
      <c r="E1657" t="inlineStr">
        <is>
          <t>TINGSRYD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53771-2024</t>
        </is>
      </c>
      <c r="B1658" s="1" t="n">
        <v>45615</v>
      </c>
      <c r="C1658" s="1" t="n">
        <v>45735</v>
      </c>
      <c r="D1658" t="inlineStr">
        <is>
          <t>KRONOBERGS LÄN</t>
        </is>
      </c>
      <c r="E1658" t="inlineStr">
        <is>
          <t>TINGSRYD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53768-2024</t>
        </is>
      </c>
      <c r="B1659" s="1" t="n">
        <v>45615</v>
      </c>
      <c r="C1659" s="1" t="n">
        <v>45735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54174-2024</t>
        </is>
      </c>
      <c r="B1660" s="1" t="n">
        <v>45616</v>
      </c>
      <c r="C1660" s="1" t="n">
        <v>45735</v>
      </c>
      <c r="D1660" t="inlineStr">
        <is>
          <t>KRONOBERGS LÄN</t>
        </is>
      </c>
      <c r="E1660" t="inlineStr">
        <is>
          <t>TINGSRYD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54088-2024</t>
        </is>
      </c>
      <c r="B1661" s="1" t="n">
        <v>45616</v>
      </c>
      <c r="C1661" s="1" t="n">
        <v>45735</v>
      </c>
      <c r="D1661" t="inlineStr">
        <is>
          <t>KRONOBERGS LÄN</t>
        </is>
      </c>
      <c r="E1661" t="inlineStr">
        <is>
          <t>TINGSRYD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54168-2024</t>
        </is>
      </c>
      <c r="B1662" s="1" t="n">
        <v>45616</v>
      </c>
      <c r="C1662" s="1" t="n">
        <v>45735</v>
      </c>
      <c r="D1662" t="inlineStr">
        <is>
          <t>KRONOBERGS LÄN</t>
        </is>
      </c>
      <c r="E1662" t="inlineStr">
        <is>
          <t>TINGSRYD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54244-2024</t>
        </is>
      </c>
      <c r="B1663" s="1" t="n">
        <v>45616</v>
      </c>
      <c r="C1663" s="1" t="n">
        <v>45735</v>
      </c>
      <c r="D1663" t="inlineStr">
        <is>
          <t>KRONOBERGS LÄN</t>
        </is>
      </c>
      <c r="E1663" t="inlineStr">
        <is>
          <t>TINGSRYD</t>
        </is>
      </c>
      <c r="G1663" t="n">
        <v>12.4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45735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45735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45735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55443-2024</t>
        </is>
      </c>
      <c r="B1667" s="1" t="n">
        <v>45622</v>
      </c>
      <c r="C1667" s="1" t="n">
        <v>45735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55614-2024</t>
        </is>
      </c>
      <c r="B1668" s="1" t="n">
        <v>45622</v>
      </c>
      <c r="C1668" s="1" t="n">
        <v>45735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56761-2024</t>
        </is>
      </c>
      <c r="B1669" s="1" t="n">
        <v>45628</v>
      </c>
      <c r="C1669" s="1" t="n">
        <v>45735</v>
      </c>
      <c r="D1669" t="inlineStr">
        <is>
          <t>KRONOBERGS LÄN</t>
        </is>
      </c>
      <c r="E1669" t="inlineStr">
        <is>
          <t>TINGSRYD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57401-2024</t>
        </is>
      </c>
      <c r="B1670" s="1" t="n">
        <v>45629</v>
      </c>
      <c r="C1670" s="1" t="n">
        <v>45735</v>
      </c>
      <c r="D1670" t="inlineStr">
        <is>
          <t>KRONOBERGS LÄN</t>
        </is>
      </c>
      <c r="E1670" t="inlineStr">
        <is>
          <t>TINGSRYD</t>
        </is>
      </c>
      <c r="F1670" t="inlineStr">
        <is>
          <t>Övriga Aktiebolag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57379-2024</t>
        </is>
      </c>
      <c r="B1671" s="1" t="n">
        <v>45629</v>
      </c>
      <c r="C1671" s="1" t="n">
        <v>45735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57403-2024</t>
        </is>
      </c>
      <c r="B1672" s="1" t="n">
        <v>45629</v>
      </c>
      <c r="C1672" s="1" t="n">
        <v>45735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57382-2024</t>
        </is>
      </c>
      <c r="B1673" s="1" t="n">
        <v>45629</v>
      </c>
      <c r="C1673" s="1" t="n">
        <v>45735</v>
      </c>
      <c r="D1673" t="inlineStr">
        <is>
          <t>KRONOBERGS LÄN</t>
        </is>
      </c>
      <c r="E1673" t="inlineStr">
        <is>
          <t>TINGSRYD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57989-2024</t>
        </is>
      </c>
      <c r="B1674" s="1" t="n">
        <v>45631</v>
      </c>
      <c r="C1674" s="1" t="n">
        <v>45735</v>
      </c>
      <c r="D1674" t="inlineStr">
        <is>
          <t>KRONOBERGS LÄN</t>
        </is>
      </c>
      <c r="E1674" t="inlineStr">
        <is>
          <t>TINGSRYD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57959-2024</t>
        </is>
      </c>
      <c r="B1675" s="1" t="n">
        <v>45631</v>
      </c>
      <c r="C1675" s="1" t="n">
        <v>45735</v>
      </c>
      <c r="D1675" t="inlineStr">
        <is>
          <t>KRONOBERGS LÄN</t>
        </is>
      </c>
      <c r="E1675" t="inlineStr">
        <is>
          <t>TINGSRYD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57954-2024</t>
        </is>
      </c>
      <c r="B1676" s="1" t="n">
        <v>45631</v>
      </c>
      <c r="C1676" s="1" t="n">
        <v>45735</v>
      </c>
      <c r="D1676" t="inlineStr">
        <is>
          <t>KRONOBERGS LÄN</t>
        </is>
      </c>
      <c r="E1676" t="inlineStr">
        <is>
          <t>TINGSRYD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58561-2024</t>
        </is>
      </c>
      <c r="B1677" s="1" t="n">
        <v>45635</v>
      </c>
      <c r="C1677" s="1" t="n">
        <v>45735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58566-2024</t>
        </is>
      </c>
      <c r="B1678" s="1" t="n">
        <v>45635</v>
      </c>
      <c r="C1678" s="1" t="n">
        <v>45735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58571-2024</t>
        </is>
      </c>
      <c r="B1679" s="1" t="n">
        <v>45635</v>
      </c>
      <c r="C1679" s="1" t="n">
        <v>45735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58559-2024</t>
        </is>
      </c>
      <c r="B1680" s="1" t="n">
        <v>45635</v>
      </c>
      <c r="C1680" s="1" t="n">
        <v>45735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58569-2024</t>
        </is>
      </c>
      <c r="B1681" s="1" t="n">
        <v>45635</v>
      </c>
      <c r="C1681" s="1" t="n">
        <v>45735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58567-2024</t>
        </is>
      </c>
      <c r="B1682" s="1" t="n">
        <v>45635</v>
      </c>
      <c r="C1682" s="1" t="n">
        <v>45735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58573-2024</t>
        </is>
      </c>
      <c r="B1683" s="1" t="n">
        <v>45635</v>
      </c>
      <c r="C1683" s="1" t="n">
        <v>45735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59054-2024</t>
        </is>
      </c>
      <c r="B1684" s="1" t="n">
        <v>45636</v>
      </c>
      <c r="C1684" s="1" t="n">
        <v>45735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58819-2024</t>
        </is>
      </c>
      <c r="B1685" s="1" t="n">
        <v>45636</v>
      </c>
      <c r="C1685" s="1" t="n">
        <v>45735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58825-2024</t>
        </is>
      </c>
      <c r="B1686" s="1" t="n">
        <v>45636</v>
      </c>
      <c r="C1686" s="1" t="n">
        <v>45735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58820-2024</t>
        </is>
      </c>
      <c r="B1687" s="1" t="n">
        <v>45636</v>
      </c>
      <c r="C1687" s="1" t="n">
        <v>45735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59081-2024</t>
        </is>
      </c>
      <c r="B1688" s="1" t="n">
        <v>45637</v>
      </c>
      <c r="C1688" s="1" t="n">
        <v>45735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59086-2024</t>
        </is>
      </c>
      <c r="B1689" s="1" t="n">
        <v>45637</v>
      </c>
      <c r="C1689" s="1" t="n">
        <v>45735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59090-2024</t>
        </is>
      </c>
      <c r="B1690" s="1" t="n">
        <v>45637</v>
      </c>
      <c r="C1690" s="1" t="n">
        <v>45735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59082-2024</t>
        </is>
      </c>
      <c r="B1691" s="1" t="n">
        <v>45637</v>
      </c>
      <c r="C1691" s="1" t="n">
        <v>45735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59079-2024</t>
        </is>
      </c>
      <c r="B1692" s="1" t="n">
        <v>45637</v>
      </c>
      <c r="C1692" s="1" t="n">
        <v>45735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8.800000000000001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59088-2024</t>
        </is>
      </c>
      <c r="B1693" s="1" t="n">
        <v>45637</v>
      </c>
      <c r="C1693" s="1" t="n">
        <v>45735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59092-2024</t>
        </is>
      </c>
      <c r="B1694" s="1" t="n">
        <v>45637</v>
      </c>
      <c r="C1694" s="1" t="n">
        <v>45735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59277-2024</t>
        </is>
      </c>
      <c r="B1695" s="1" t="n">
        <v>45637</v>
      </c>
      <c r="C1695" s="1" t="n">
        <v>45735</v>
      </c>
      <c r="D1695" t="inlineStr">
        <is>
          <t>KRONOBERGS LÄN</t>
        </is>
      </c>
      <c r="E1695" t="inlineStr">
        <is>
          <t>TINGSRYD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59296-2024</t>
        </is>
      </c>
      <c r="B1696" s="1" t="n">
        <v>45637</v>
      </c>
      <c r="C1696" s="1" t="n">
        <v>45735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59089-2024</t>
        </is>
      </c>
      <c r="B1697" s="1" t="n">
        <v>45637</v>
      </c>
      <c r="C1697" s="1" t="n">
        <v>45735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59085-2024</t>
        </is>
      </c>
      <c r="B1698" s="1" t="n">
        <v>45637</v>
      </c>
      <c r="C1698" s="1" t="n">
        <v>45735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59322-2024</t>
        </is>
      </c>
      <c r="B1699" s="1" t="n">
        <v>45637</v>
      </c>
      <c r="C1699" s="1" t="n">
        <v>45735</v>
      </c>
      <c r="D1699" t="inlineStr">
        <is>
          <t>KRONOBERGS LÄN</t>
        </is>
      </c>
      <c r="E1699" t="inlineStr">
        <is>
          <t>TINGSRYD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59816-2024</t>
        </is>
      </c>
      <c r="B1700" s="1" t="n">
        <v>45639</v>
      </c>
      <c r="C1700" s="1" t="n">
        <v>45735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60008-2024</t>
        </is>
      </c>
      <c r="B1701" s="1" t="n">
        <v>45642</v>
      </c>
      <c r="C1701" s="1" t="n">
        <v>45735</v>
      </c>
      <c r="D1701" t="inlineStr">
        <is>
          <t>KRONOBERGS LÄN</t>
        </is>
      </c>
      <c r="E1701" t="inlineStr">
        <is>
          <t>TINGSRYD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60783-2024</t>
        </is>
      </c>
      <c r="B1702" s="1" t="n">
        <v>45644</v>
      </c>
      <c r="C1702" s="1" t="n">
        <v>45735</v>
      </c>
      <c r="D1702" t="inlineStr">
        <is>
          <t>KRONOBERGS LÄN</t>
        </is>
      </c>
      <c r="E1702" t="inlineStr">
        <is>
          <t>TINGSRYD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60746-2024</t>
        </is>
      </c>
      <c r="B1703" s="1" t="n">
        <v>45644</v>
      </c>
      <c r="C1703" s="1" t="n">
        <v>45735</v>
      </c>
      <c r="D1703" t="inlineStr">
        <is>
          <t>KRONOBERGS LÄN</t>
        </is>
      </c>
      <c r="E1703" t="inlineStr">
        <is>
          <t>TINGSRYD</t>
        </is>
      </c>
      <c r="G1703" t="n">
        <v>3.8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60744-2024</t>
        </is>
      </c>
      <c r="B1704" s="1" t="n">
        <v>45644</v>
      </c>
      <c r="C1704" s="1" t="n">
        <v>45735</v>
      </c>
      <c r="D1704" t="inlineStr">
        <is>
          <t>KRONOBERGS LÄN</t>
        </is>
      </c>
      <c r="E1704" t="inlineStr">
        <is>
          <t>TINGSRYD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60790-2024</t>
        </is>
      </c>
      <c r="B1705" s="1" t="n">
        <v>45644</v>
      </c>
      <c r="C1705" s="1" t="n">
        <v>45735</v>
      </c>
      <c r="D1705" t="inlineStr">
        <is>
          <t>KRONOBERGS LÄN</t>
        </is>
      </c>
      <c r="E1705" t="inlineStr">
        <is>
          <t>TINGSRYD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60653-2024</t>
        </is>
      </c>
      <c r="B1706" s="1" t="n">
        <v>45644</v>
      </c>
      <c r="C1706" s="1" t="n">
        <v>45735</v>
      </c>
      <c r="D1706" t="inlineStr">
        <is>
          <t>KRONOBERGS LÄN</t>
        </is>
      </c>
      <c r="E1706" t="inlineStr">
        <is>
          <t>TINGSRYD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60627-2024</t>
        </is>
      </c>
      <c r="B1707" s="1" t="n">
        <v>45644</v>
      </c>
      <c r="C1707" s="1" t="n">
        <v>45735</v>
      </c>
      <c r="D1707" t="inlineStr">
        <is>
          <t>KRONOBERGS LÄN</t>
        </is>
      </c>
      <c r="E1707" t="inlineStr">
        <is>
          <t>TINGSRYD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61558-2024</t>
        </is>
      </c>
      <c r="B1708" s="1" t="n">
        <v>45646</v>
      </c>
      <c r="C1708" s="1" t="n">
        <v>45735</v>
      </c>
      <c r="D1708" t="inlineStr">
        <is>
          <t>KRONOBERGS LÄN</t>
        </is>
      </c>
      <c r="E1708" t="inlineStr">
        <is>
          <t>TINGSRYD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61658-2024</t>
        </is>
      </c>
      <c r="B1709" s="1" t="n">
        <v>45646</v>
      </c>
      <c r="C1709" s="1" t="n">
        <v>45735</v>
      </c>
      <c r="D1709" t="inlineStr">
        <is>
          <t>KRONOBERGS LÄN</t>
        </is>
      </c>
      <c r="E1709" t="inlineStr">
        <is>
          <t>TINGSRYD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61659-2024</t>
        </is>
      </c>
      <c r="B1710" s="1" t="n">
        <v>45646</v>
      </c>
      <c r="C1710" s="1" t="n">
        <v>45735</v>
      </c>
      <c r="D1710" t="inlineStr">
        <is>
          <t>KRONOBERGS LÄN</t>
        </is>
      </c>
      <c r="E1710" t="inlineStr">
        <is>
          <t>TINGSRYD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61657-2024</t>
        </is>
      </c>
      <c r="B1711" s="1" t="n">
        <v>45646</v>
      </c>
      <c r="C1711" s="1" t="n">
        <v>45735</v>
      </c>
      <c r="D1711" t="inlineStr">
        <is>
          <t>KRONOBERGS LÄN</t>
        </is>
      </c>
      <c r="E1711" t="inlineStr">
        <is>
          <t>TINGSRYD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525-2025</t>
        </is>
      </c>
      <c r="B1712" s="1" t="n">
        <v>45664</v>
      </c>
      <c r="C1712" s="1" t="n">
        <v>45735</v>
      </c>
      <c r="D1712" t="inlineStr">
        <is>
          <t>KRONOBERGS LÄN</t>
        </is>
      </c>
      <c r="E1712" t="inlineStr">
        <is>
          <t>TINGSRYD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1632-2025</t>
        </is>
      </c>
      <c r="B1713" s="1" t="n">
        <v>45670</v>
      </c>
      <c r="C1713" s="1" t="n">
        <v>45735</v>
      </c>
      <c r="D1713" t="inlineStr">
        <is>
          <t>KRONOBERGS LÄN</t>
        </is>
      </c>
      <c r="E1713" t="inlineStr">
        <is>
          <t>TINGSRYD</t>
        </is>
      </c>
      <c r="F1713" t="inlineStr">
        <is>
          <t>Kyrkan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1534-2025</t>
        </is>
      </c>
      <c r="B1714" s="1" t="n">
        <v>45670</v>
      </c>
      <c r="C1714" s="1" t="n">
        <v>45735</v>
      </c>
      <c r="D1714" t="inlineStr">
        <is>
          <t>KRONOBERGS LÄN</t>
        </is>
      </c>
      <c r="E1714" t="inlineStr">
        <is>
          <t>TINGSRYD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1626-2025</t>
        </is>
      </c>
      <c r="B1715" s="1" t="n">
        <v>45670</v>
      </c>
      <c r="C1715" s="1" t="n">
        <v>45735</v>
      </c>
      <c r="D1715" t="inlineStr">
        <is>
          <t>KRONOBERGS LÄN</t>
        </is>
      </c>
      <c r="E1715" t="inlineStr">
        <is>
          <t>TINGSRYD</t>
        </is>
      </c>
      <c r="F1715" t="inlineStr">
        <is>
          <t>Kyrkan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1563-2025</t>
        </is>
      </c>
      <c r="B1716" s="1" t="n">
        <v>45670</v>
      </c>
      <c r="C1716" s="1" t="n">
        <v>45735</v>
      </c>
      <c r="D1716" t="inlineStr">
        <is>
          <t>KRONOBERGS LÄN</t>
        </is>
      </c>
      <c r="E1716" t="inlineStr">
        <is>
          <t>TINGSRYD</t>
        </is>
      </c>
      <c r="G1716" t="n">
        <v>4.1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1774-2025</t>
        </is>
      </c>
      <c r="B1717" s="1" t="n">
        <v>45671</v>
      </c>
      <c r="C1717" s="1" t="n">
        <v>45735</v>
      </c>
      <c r="D1717" t="inlineStr">
        <is>
          <t>KRONOBERGS LÄN</t>
        </is>
      </c>
      <c r="E1717" t="inlineStr">
        <is>
          <t>TINGSRYD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1778-2025</t>
        </is>
      </c>
      <c r="B1718" s="1" t="n">
        <v>45671</v>
      </c>
      <c r="C1718" s="1" t="n">
        <v>45735</v>
      </c>
      <c r="D1718" t="inlineStr">
        <is>
          <t>KRONOBERGS LÄN</t>
        </is>
      </c>
      <c r="E1718" t="inlineStr">
        <is>
          <t>TINGSRYD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1784-2025</t>
        </is>
      </c>
      <c r="B1719" s="1" t="n">
        <v>45671</v>
      </c>
      <c r="C1719" s="1" t="n">
        <v>45735</v>
      </c>
      <c r="D1719" t="inlineStr">
        <is>
          <t>KRONOBERGS LÄN</t>
        </is>
      </c>
      <c r="E1719" t="inlineStr">
        <is>
          <t>TINGSRYD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1781-2025</t>
        </is>
      </c>
      <c r="B1720" s="1" t="n">
        <v>45671</v>
      </c>
      <c r="C1720" s="1" t="n">
        <v>45735</v>
      </c>
      <c r="D1720" t="inlineStr">
        <is>
          <t>KRONOBERGS LÄN</t>
        </is>
      </c>
      <c r="E1720" t="inlineStr">
        <is>
          <t>TINGSRYD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1957-2025</t>
        </is>
      </c>
      <c r="B1721" s="1" t="n">
        <v>45672</v>
      </c>
      <c r="C1721" s="1" t="n">
        <v>45735</v>
      </c>
      <c r="D1721" t="inlineStr">
        <is>
          <t>KRONOBERGS LÄN</t>
        </is>
      </c>
      <c r="E1721" t="inlineStr">
        <is>
          <t>TINGSRYD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2471-2025</t>
        </is>
      </c>
      <c r="B1722" s="1" t="n">
        <v>45674</v>
      </c>
      <c r="C1722" s="1" t="n">
        <v>45735</v>
      </c>
      <c r="D1722" t="inlineStr">
        <is>
          <t>KRONOBERGS LÄN</t>
        </is>
      </c>
      <c r="E1722" t="inlineStr">
        <is>
          <t>TINGSRYD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2462-2025</t>
        </is>
      </c>
      <c r="B1723" s="1" t="n">
        <v>45674</v>
      </c>
      <c r="C1723" s="1" t="n">
        <v>45735</v>
      </c>
      <c r="D1723" t="inlineStr">
        <is>
          <t>KRONOBERGS LÄN</t>
        </is>
      </c>
      <c r="E1723" t="inlineStr">
        <is>
          <t>TINGSRYD</t>
        </is>
      </c>
      <c r="G1723" t="n">
        <v>5.6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2458-2025</t>
        </is>
      </c>
      <c r="B1724" s="1" t="n">
        <v>45674</v>
      </c>
      <c r="C1724" s="1" t="n">
        <v>45735</v>
      </c>
      <c r="D1724" t="inlineStr">
        <is>
          <t>KRONOBERGS LÄN</t>
        </is>
      </c>
      <c r="E1724" t="inlineStr">
        <is>
          <t>TINGSRYD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2444-2025</t>
        </is>
      </c>
      <c r="B1725" s="1" t="n">
        <v>45674</v>
      </c>
      <c r="C1725" s="1" t="n">
        <v>45735</v>
      </c>
      <c r="D1725" t="inlineStr">
        <is>
          <t>KRONOBERGS LÄN</t>
        </is>
      </c>
      <c r="E1725" t="inlineStr">
        <is>
          <t>TINGSRYD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2460-2025</t>
        </is>
      </c>
      <c r="B1726" s="1" t="n">
        <v>45674</v>
      </c>
      <c r="C1726" s="1" t="n">
        <v>45735</v>
      </c>
      <c r="D1726" t="inlineStr">
        <is>
          <t>KRONOBERGS LÄN</t>
        </is>
      </c>
      <c r="E1726" t="inlineStr">
        <is>
          <t>TINGSRYD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2815-2025</t>
        </is>
      </c>
      <c r="B1727" s="1" t="n">
        <v>45677</v>
      </c>
      <c r="C1727" s="1" t="n">
        <v>45735</v>
      </c>
      <c r="D1727" t="inlineStr">
        <is>
          <t>KRONOBERGS LÄN</t>
        </is>
      </c>
      <c r="E1727" t="inlineStr">
        <is>
          <t>TINGSRYD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2809-2025</t>
        </is>
      </c>
      <c r="B1728" s="1" t="n">
        <v>45677</v>
      </c>
      <c r="C1728" s="1" t="n">
        <v>45735</v>
      </c>
      <c r="D1728" t="inlineStr">
        <is>
          <t>KRONOBERGS LÄN</t>
        </is>
      </c>
      <c r="E1728" t="inlineStr">
        <is>
          <t>TINGSRYD</t>
        </is>
      </c>
      <c r="F1728" t="inlineStr">
        <is>
          <t>Sveaskog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2805-2025</t>
        </is>
      </c>
      <c r="B1729" s="1" t="n">
        <v>45677</v>
      </c>
      <c r="C1729" s="1" t="n">
        <v>45735</v>
      </c>
      <c r="D1729" t="inlineStr">
        <is>
          <t>KRONOBERGS LÄN</t>
        </is>
      </c>
      <c r="E1729" t="inlineStr">
        <is>
          <t>TINGSRYD</t>
        </is>
      </c>
      <c r="F1729" t="inlineStr">
        <is>
          <t>Sveaskog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2801-2025</t>
        </is>
      </c>
      <c r="B1730" s="1" t="n">
        <v>45677</v>
      </c>
      <c r="C1730" s="1" t="n">
        <v>45735</v>
      </c>
      <c r="D1730" t="inlineStr">
        <is>
          <t>KRONOBERGS LÄN</t>
        </is>
      </c>
      <c r="E1730" t="inlineStr">
        <is>
          <t>TINGSRYD</t>
        </is>
      </c>
      <c r="F1730" t="inlineStr">
        <is>
          <t>Sveaskog</t>
        </is>
      </c>
      <c r="G1730" t="n">
        <v>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2952-2025</t>
        </is>
      </c>
      <c r="B1731" s="1" t="n">
        <v>45678</v>
      </c>
      <c r="C1731" s="1" t="n">
        <v>45735</v>
      </c>
      <c r="D1731" t="inlineStr">
        <is>
          <t>KRONOBERGS LÄN</t>
        </is>
      </c>
      <c r="E1731" t="inlineStr">
        <is>
          <t>TINGSRYD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3345-2025</t>
        </is>
      </c>
      <c r="B1732" s="1" t="n">
        <v>45679</v>
      </c>
      <c r="C1732" s="1" t="n">
        <v>45735</v>
      </c>
      <c r="D1732" t="inlineStr">
        <is>
          <t>KRONOBERGS LÄN</t>
        </is>
      </c>
      <c r="E1732" t="inlineStr">
        <is>
          <t>TINGSRYD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3303-2025</t>
        </is>
      </c>
      <c r="B1733" s="1" t="n">
        <v>45679</v>
      </c>
      <c r="C1733" s="1" t="n">
        <v>45735</v>
      </c>
      <c r="D1733" t="inlineStr">
        <is>
          <t>KRONOBERGS LÄN</t>
        </is>
      </c>
      <c r="E1733" t="inlineStr">
        <is>
          <t>TINGSRYD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3190-2025</t>
        </is>
      </c>
      <c r="B1734" s="1" t="n">
        <v>45679</v>
      </c>
      <c r="C1734" s="1" t="n">
        <v>45735</v>
      </c>
      <c r="D1734" t="inlineStr">
        <is>
          <t>KRONOBERGS LÄN</t>
        </is>
      </c>
      <c r="E1734" t="inlineStr">
        <is>
          <t>TINGSRYD</t>
        </is>
      </c>
      <c r="G1734" t="n">
        <v>5.9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3472-2025</t>
        </is>
      </c>
      <c r="B1735" s="1" t="n">
        <v>45680</v>
      </c>
      <c r="C1735" s="1" t="n">
        <v>45735</v>
      </c>
      <c r="D1735" t="inlineStr">
        <is>
          <t>KRONOBERGS LÄN</t>
        </is>
      </c>
      <c r="E1735" t="inlineStr">
        <is>
          <t>TINGSRYD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3480-2025</t>
        </is>
      </c>
      <c r="B1736" s="1" t="n">
        <v>45680</v>
      </c>
      <c r="C1736" s="1" t="n">
        <v>45735</v>
      </c>
      <c r="D1736" t="inlineStr">
        <is>
          <t>KRONOBERGS LÄN</t>
        </is>
      </c>
      <c r="E1736" t="inlineStr">
        <is>
          <t>TINGSRYD</t>
        </is>
      </c>
      <c r="G1736" t="n">
        <v>4.4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3531-2025</t>
        </is>
      </c>
      <c r="B1737" s="1" t="n">
        <v>45680</v>
      </c>
      <c r="C1737" s="1" t="n">
        <v>45735</v>
      </c>
      <c r="D1737" t="inlineStr">
        <is>
          <t>KRONOBERGS LÄN</t>
        </is>
      </c>
      <c r="E1737" t="inlineStr">
        <is>
          <t>TINGSRYD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3744-2025</t>
        </is>
      </c>
      <c r="B1738" s="1" t="n">
        <v>45681</v>
      </c>
      <c r="C1738" s="1" t="n">
        <v>45735</v>
      </c>
      <c r="D1738" t="inlineStr">
        <is>
          <t>KRONOBERGS LÄN</t>
        </is>
      </c>
      <c r="E1738" t="inlineStr">
        <is>
          <t>TINGSRYD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3971-2025</t>
        </is>
      </c>
      <c r="B1739" s="1" t="n">
        <v>45684</v>
      </c>
      <c r="C1739" s="1" t="n">
        <v>45735</v>
      </c>
      <c r="D1739" t="inlineStr">
        <is>
          <t>KRONOBERGS LÄN</t>
        </is>
      </c>
      <c r="E1739" t="inlineStr">
        <is>
          <t>TINGSRYD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3987-2025</t>
        </is>
      </c>
      <c r="B1740" s="1" t="n">
        <v>45684</v>
      </c>
      <c r="C1740" s="1" t="n">
        <v>45735</v>
      </c>
      <c r="D1740" t="inlineStr">
        <is>
          <t>KRONOBERGS LÄN</t>
        </is>
      </c>
      <c r="E1740" t="inlineStr">
        <is>
          <t>TINGSRYD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3991-2025</t>
        </is>
      </c>
      <c r="B1741" s="1" t="n">
        <v>45684</v>
      </c>
      <c r="C1741" s="1" t="n">
        <v>45735</v>
      </c>
      <c r="D1741" t="inlineStr">
        <is>
          <t>KRONOBERGS LÄN</t>
        </is>
      </c>
      <c r="E1741" t="inlineStr">
        <is>
          <t>TINGSRYD</t>
        </is>
      </c>
      <c r="G1741" t="n">
        <v>5.2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4297-2025</t>
        </is>
      </c>
      <c r="B1742" s="1" t="n">
        <v>45685</v>
      </c>
      <c r="C1742" s="1" t="n">
        <v>45735</v>
      </c>
      <c r="D1742" t="inlineStr">
        <is>
          <t>KRONOBERGS LÄN</t>
        </is>
      </c>
      <c r="E1742" t="inlineStr">
        <is>
          <t>TINGSRYD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4165-2025</t>
        </is>
      </c>
      <c r="B1743" s="1" t="n">
        <v>45685</v>
      </c>
      <c r="C1743" s="1" t="n">
        <v>45735</v>
      </c>
      <c r="D1743" t="inlineStr">
        <is>
          <t>KRONOBERGS LÄN</t>
        </is>
      </c>
      <c r="E1743" t="inlineStr">
        <is>
          <t>TINGSRYD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4213-2025</t>
        </is>
      </c>
      <c r="B1744" s="1" t="n">
        <v>45685</v>
      </c>
      <c r="C1744" s="1" t="n">
        <v>45735</v>
      </c>
      <c r="D1744" t="inlineStr">
        <is>
          <t>KRONOBERGS LÄN</t>
        </is>
      </c>
      <c r="E1744" t="inlineStr">
        <is>
          <t>TINGSRYD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4730-2025</t>
        </is>
      </c>
      <c r="B1745" s="1" t="n">
        <v>45688</v>
      </c>
      <c r="C1745" s="1" t="n">
        <v>45735</v>
      </c>
      <c r="D1745" t="inlineStr">
        <is>
          <t>KRONOBERGS LÄN</t>
        </is>
      </c>
      <c r="E1745" t="inlineStr">
        <is>
          <t>TINGSRYD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4724-2025</t>
        </is>
      </c>
      <c r="B1746" s="1" t="n">
        <v>45688</v>
      </c>
      <c r="C1746" s="1" t="n">
        <v>45735</v>
      </c>
      <c r="D1746" t="inlineStr">
        <is>
          <t>KRONOBERGS LÄN</t>
        </is>
      </c>
      <c r="E1746" t="inlineStr">
        <is>
          <t>TINGSRYD</t>
        </is>
      </c>
      <c r="G1746" t="n">
        <v>3.7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5220-2025</t>
        </is>
      </c>
      <c r="B1747" s="1" t="n">
        <v>45691</v>
      </c>
      <c r="C1747" s="1" t="n">
        <v>45735</v>
      </c>
      <c r="D1747" t="inlineStr">
        <is>
          <t>KRONOBERGS LÄN</t>
        </is>
      </c>
      <c r="E1747" t="inlineStr">
        <is>
          <t>TINGSRYD</t>
        </is>
      </c>
      <c r="F1747" t="inlineStr">
        <is>
          <t>Sveaskog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5222-2025</t>
        </is>
      </c>
      <c r="B1748" s="1" t="n">
        <v>45691</v>
      </c>
      <c r="C1748" s="1" t="n">
        <v>45735</v>
      </c>
      <c r="D1748" t="inlineStr">
        <is>
          <t>KRONOBERGS LÄN</t>
        </is>
      </c>
      <c r="E1748" t="inlineStr">
        <is>
          <t>TINGSRYD</t>
        </is>
      </c>
      <c r="F1748" t="inlineStr">
        <is>
          <t>Sveaskog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5219-2025</t>
        </is>
      </c>
      <c r="B1749" s="1" t="n">
        <v>45691</v>
      </c>
      <c r="C1749" s="1" t="n">
        <v>45735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5223-2025</t>
        </is>
      </c>
      <c r="B1750" s="1" t="n">
        <v>45691</v>
      </c>
      <c r="C1750" s="1" t="n">
        <v>45735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5265-2025</t>
        </is>
      </c>
      <c r="B1751" s="1" t="n">
        <v>45692</v>
      </c>
      <c r="C1751" s="1" t="n">
        <v>45735</v>
      </c>
      <c r="D1751" t="inlineStr">
        <is>
          <t>KRONOBERGS LÄN</t>
        </is>
      </c>
      <c r="E1751" t="inlineStr">
        <is>
          <t>TINGSRYD</t>
        </is>
      </c>
      <c r="G1751" t="n">
        <v>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5390-2025</t>
        </is>
      </c>
      <c r="B1752" s="1" t="n">
        <v>45692</v>
      </c>
      <c r="C1752" s="1" t="n">
        <v>45735</v>
      </c>
      <c r="D1752" t="inlineStr">
        <is>
          <t>KRONOBERGS LÄN</t>
        </is>
      </c>
      <c r="E1752" t="inlineStr">
        <is>
          <t>TINGSRYD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5889-2025</t>
        </is>
      </c>
      <c r="B1753" s="1" t="n">
        <v>45695</v>
      </c>
      <c r="C1753" s="1" t="n">
        <v>45735</v>
      </c>
      <c r="D1753" t="inlineStr">
        <is>
          <t>KRONOBERGS LÄN</t>
        </is>
      </c>
      <c r="E1753" t="inlineStr">
        <is>
          <t>TINGSRYD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5893-2025</t>
        </is>
      </c>
      <c r="B1754" s="1" t="n">
        <v>45695</v>
      </c>
      <c r="C1754" s="1" t="n">
        <v>45735</v>
      </c>
      <c r="D1754" t="inlineStr">
        <is>
          <t>KRONOBERGS LÄN</t>
        </is>
      </c>
      <c r="E1754" t="inlineStr">
        <is>
          <t>TINGSRYD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5886-2025</t>
        </is>
      </c>
      <c r="B1755" s="1" t="n">
        <v>45695</v>
      </c>
      <c r="C1755" s="1" t="n">
        <v>45735</v>
      </c>
      <c r="D1755" t="inlineStr">
        <is>
          <t>KRONOBERGS LÄN</t>
        </is>
      </c>
      <c r="E1755" t="inlineStr">
        <is>
          <t>TINGSRYD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5880-2025</t>
        </is>
      </c>
      <c r="B1756" s="1" t="n">
        <v>45695</v>
      </c>
      <c r="C1756" s="1" t="n">
        <v>45735</v>
      </c>
      <c r="D1756" t="inlineStr">
        <is>
          <t>KRONOBERGS LÄN</t>
        </is>
      </c>
      <c r="E1756" t="inlineStr">
        <is>
          <t>TINGSRYD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6151-2025</t>
        </is>
      </c>
      <c r="B1757" s="1" t="n">
        <v>45698</v>
      </c>
      <c r="C1757" s="1" t="n">
        <v>45735</v>
      </c>
      <c r="D1757" t="inlineStr">
        <is>
          <t>KRONOBERGS LÄN</t>
        </is>
      </c>
      <c r="E1757" t="inlineStr">
        <is>
          <t>TINGSRYD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6669-2025</t>
        </is>
      </c>
      <c r="B1758" s="1" t="n">
        <v>45700</v>
      </c>
      <c r="C1758" s="1" t="n">
        <v>45735</v>
      </c>
      <c r="D1758" t="inlineStr">
        <is>
          <t>KRONOBERGS LÄN</t>
        </is>
      </c>
      <c r="E1758" t="inlineStr">
        <is>
          <t>TINGSRYD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6853-2025</t>
        </is>
      </c>
      <c r="B1759" s="1" t="n">
        <v>45700</v>
      </c>
      <c r="C1759" s="1" t="n">
        <v>45735</v>
      </c>
      <c r="D1759" t="inlineStr">
        <is>
          <t>KRONOBERGS LÄN</t>
        </is>
      </c>
      <c r="E1759" t="inlineStr">
        <is>
          <t>TINGSRYD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6664-2025</t>
        </is>
      </c>
      <c r="B1760" s="1" t="n">
        <v>45700</v>
      </c>
      <c r="C1760" s="1" t="n">
        <v>45735</v>
      </c>
      <c r="D1760" t="inlineStr">
        <is>
          <t>KRONOBERGS LÄN</t>
        </is>
      </c>
      <c r="E1760" t="inlineStr">
        <is>
          <t>TINGSRYD</t>
        </is>
      </c>
      <c r="G1760" t="n">
        <v>1.4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6935-2025</t>
        </is>
      </c>
      <c r="B1761" s="1" t="n">
        <v>45701</v>
      </c>
      <c r="C1761" s="1" t="n">
        <v>45735</v>
      </c>
      <c r="D1761" t="inlineStr">
        <is>
          <t>KRONOBERGS LÄN</t>
        </is>
      </c>
      <c r="E1761" t="inlineStr">
        <is>
          <t>TINGSRYD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6937-2025</t>
        </is>
      </c>
      <c r="B1762" s="1" t="n">
        <v>45701</v>
      </c>
      <c r="C1762" s="1" t="n">
        <v>45735</v>
      </c>
      <c r="D1762" t="inlineStr">
        <is>
          <t>KRONOBERGS LÄN</t>
        </is>
      </c>
      <c r="E1762" t="inlineStr">
        <is>
          <t>TINGSRYD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6929-2025</t>
        </is>
      </c>
      <c r="B1763" s="1" t="n">
        <v>45701</v>
      </c>
      <c r="C1763" s="1" t="n">
        <v>45735</v>
      </c>
      <c r="D1763" t="inlineStr">
        <is>
          <t>KRONOBERGS LÄN</t>
        </is>
      </c>
      <c r="E1763" t="inlineStr">
        <is>
          <t>TINGSRYD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7189-2025</t>
        </is>
      </c>
      <c r="B1764" s="1" t="n">
        <v>45702</v>
      </c>
      <c r="C1764" s="1" t="n">
        <v>45735</v>
      </c>
      <c r="D1764" t="inlineStr">
        <is>
          <t>KRONOBERGS LÄN</t>
        </is>
      </c>
      <c r="E1764" t="inlineStr">
        <is>
          <t>TINGSRYD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7222-2025</t>
        </is>
      </c>
      <c r="B1765" s="1" t="n">
        <v>45702</v>
      </c>
      <c r="C1765" s="1" t="n">
        <v>45735</v>
      </c>
      <c r="D1765" t="inlineStr">
        <is>
          <t>KRONOBERGS LÄN</t>
        </is>
      </c>
      <c r="E1765" t="inlineStr">
        <is>
          <t>TINGSRYD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7224-2025</t>
        </is>
      </c>
      <c r="B1766" s="1" t="n">
        <v>45702</v>
      </c>
      <c r="C1766" s="1" t="n">
        <v>45735</v>
      </c>
      <c r="D1766" t="inlineStr">
        <is>
          <t>KRONOBERGS LÄN</t>
        </is>
      </c>
      <c r="E1766" t="inlineStr">
        <is>
          <t>TINGSRYD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7438-2025</t>
        </is>
      </c>
      <c r="B1767" s="1" t="n">
        <v>45705</v>
      </c>
      <c r="C1767" s="1" t="n">
        <v>45735</v>
      </c>
      <c r="D1767" t="inlineStr">
        <is>
          <t>KRONOBERGS LÄN</t>
        </is>
      </c>
      <c r="E1767" t="inlineStr">
        <is>
          <t>TINGSRYD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7777-2025</t>
        </is>
      </c>
      <c r="B1768" s="1" t="n">
        <v>45706</v>
      </c>
      <c r="C1768" s="1" t="n">
        <v>45735</v>
      </c>
      <c r="D1768" t="inlineStr">
        <is>
          <t>KRONOBERGS LÄN</t>
        </is>
      </c>
      <c r="E1768" t="inlineStr">
        <is>
          <t>TINGSRYD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7672-2025</t>
        </is>
      </c>
      <c r="B1769" s="1" t="n">
        <v>45706</v>
      </c>
      <c r="C1769" s="1" t="n">
        <v>45735</v>
      </c>
      <c r="D1769" t="inlineStr">
        <is>
          <t>KRONOBERGS LÄN</t>
        </is>
      </c>
      <c r="E1769" t="inlineStr">
        <is>
          <t>TINGSRYD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8172-2025</t>
        </is>
      </c>
      <c r="B1770" s="1" t="n">
        <v>45708</v>
      </c>
      <c r="C1770" s="1" t="n">
        <v>45735</v>
      </c>
      <c r="D1770" t="inlineStr">
        <is>
          <t>KRONOBERGS LÄN</t>
        </is>
      </c>
      <c r="E1770" t="inlineStr">
        <is>
          <t>TINGSRYD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8520-2025</t>
        </is>
      </c>
      <c r="B1771" s="1" t="n">
        <v>45709</v>
      </c>
      <c r="C1771" s="1" t="n">
        <v>45735</v>
      </c>
      <c r="D1771" t="inlineStr">
        <is>
          <t>KRONOBERGS LÄN</t>
        </is>
      </c>
      <c r="E1771" t="inlineStr">
        <is>
          <t>TINGSRYD</t>
        </is>
      </c>
      <c r="F1771" t="inlineStr">
        <is>
          <t>Övriga Aktiebolag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8543-2025</t>
        </is>
      </c>
      <c r="B1772" s="1" t="n">
        <v>45709</v>
      </c>
      <c r="C1772" s="1" t="n">
        <v>45735</v>
      </c>
      <c r="D1772" t="inlineStr">
        <is>
          <t>KRONOBERGS LÄN</t>
        </is>
      </c>
      <c r="E1772" t="inlineStr">
        <is>
          <t>TINGSRYD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8603-2025</t>
        </is>
      </c>
      <c r="B1773" s="1" t="n">
        <v>45710</v>
      </c>
      <c r="C1773" s="1" t="n">
        <v>45735</v>
      </c>
      <c r="D1773" t="inlineStr">
        <is>
          <t>KRONOBERGS LÄN</t>
        </is>
      </c>
      <c r="E1773" t="inlineStr">
        <is>
          <t>TINGSRYD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8604-2025</t>
        </is>
      </c>
      <c r="B1774" s="1" t="n">
        <v>45710</v>
      </c>
      <c r="C1774" s="1" t="n">
        <v>45735</v>
      </c>
      <c r="D1774" t="inlineStr">
        <is>
          <t>KRONOBERGS LÄN</t>
        </is>
      </c>
      <c r="E1774" t="inlineStr">
        <is>
          <t>TINGSRYD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8678-2025</t>
        </is>
      </c>
      <c r="B1775" s="1" t="n">
        <v>45711</v>
      </c>
      <c r="C1775" s="1" t="n">
        <v>45735</v>
      </c>
      <c r="D1775" t="inlineStr">
        <is>
          <t>KRONOBERGS LÄN</t>
        </is>
      </c>
      <c r="E1775" t="inlineStr">
        <is>
          <t>TINGSRYD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8743-2025</t>
        </is>
      </c>
      <c r="B1776" s="1" t="n">
        <v>45712</v>
      </c>
      <c r="C1776" s="1" t="n">
        <v>45735</v>
      </c>
      <c r="D1776" t="inlineStr">
        <is>
          <t>KRONOBERGS LÄN</t>
        </is>
      </c>
      <c r="E1776" t="inlineStr">
        <is>
          <t>TINGSRYD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8917-2025</t>
        </is>
      </c>
      <c r="B1777" s="1" t="n">
        <v>45713</v>
      </c>
      <c r="C1777" s="1" t="n">
        <v>45735</v>
      </c>
      <c r="D1777" t="inlineStr">
        <is>
          <t>KRONOBERGS LÄN</t>
        </is>
      </c>
      <c r="E1777" t="inlineStr">
        <is>
          <t>TINGSRYD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8919-2025</t>
        </is>
      </c>
      <c r="B1778" s="1" t="n">
        <v>45713</v>
      </c>
      <c r="C1778" s="1" t="n">
        <v>45735</v>
      </c>
      <c r="D1778" t="inlineStr">
        <is>
          <t>KRONOBERGS LÄN</t>
        </is>
      </c>
      <c r="E1778" t="inlineStr">
        <is>
          <t>TINGSRYD</t>
        </is>
      </c>
      <c r="G1778" t="n">
        <v>0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10221-2025</t>
        </is>
      </c>
      <c r="B1779" s="1" t="n">
        <v>45720</v>
      </c>
      <c r="C1779" s="1" t="n">
        <v>45735</v>
      </c>
      <c r="D1779" t="inlineStr">
        <is>
          <t>KRONOBERGS LÄN</t>
        </is>
      </c>
      <c r="E1779" t="inlineStr">
        <is>
          <t>TINGSRYD</t>
        </is>
      </c>
      <c r="G1779" t="n">
        <v>4.1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10304-2025</t>
        </is>
      </c>
      <c r="B1780" s="1" t="n">
        <v>45720</v>
      </c>
      <c r="C1780" s="1" t="n">
        <v>45735</v>
      </c>
      <c r="D1780" t="inlineStr">
        <is>
          <t>KRONOBERGS LÄN</t>
        </is>
      </c>
      <c r="E1780" t="inlineStr">
        <is>
          <t>TINGSRYD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10361-2025</t>
        </is>
      </c>
      <c r="B1781" s="1" t="n">
        <v>45720</v>
      </c>
      <c r="C1781" s="1" t="n">
        <v>45735</v>
      </c>
      <c r="D1781" t="inlineStr">
        <is>
          <t>KRONOBERGS LÄN</t>
        </is>
      </c>
      <c r="E1781" t="inlineStr">
        <is>
          <t>TINGSRYD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10734-2025</t>
        </is>
      </c>
      <c r="B1782" s="1" t="n">
        <v>45722</v>
      </c>
      <c r="C1782" s="1" t="n">
        <v>45735</v>
      </c>
      <c r="D1782" t="inlineStr">
        <is>
          <t>KRONOBERGS LÄN</t>
        </is>
      </c>
      <c r="E1782" t="inlineStr">
        <is>
          <t>TINGSRYD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11275-2025</t>
        </is>
      </c>
      <c r="B1783" s="1" t="n">
        <v>45726</v>
      </c>
      <c r="C1783" s="1" t="n">
        <v>45735</v>
      </c>
      <c r="D1783" t="inlineStr">
        <is>
          <t>KRONOBERGS LÄN</t>
        </is>
      </c>
      <c r="E1783" t="inlineStr">
        <is>
          <t>TINGSRYD</t>
        </is>
      </c>
      <c r="F1783" t="inlineStr">
        <is>
          <t>Sveaskog</t>
        </is>
      </c>
      <c r="G1783" t="n">
        <v>2.8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11219-2025</t>
        </is>
      </c>
      <c r="B1784" s="1" t="n">
        <v>45726</v>
      </c>
      <c r="C1784" s="1" t="n">
        <v>45735</v>
      </c>
      <c r="D1784" t="inlineStr">
        <is>
          <t>KRONOBERGS LÄN</t>
        </is>
      </c>
      <c r="E1784" t="inlineStr">
        <is>
          <t>TINGSRYD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11261-2025</t>
        </is>
      </c>
      <c r="B1785" s="1" t="n">
        <v>45726</v>
      </c>
      <c r="C1785" s="1" t="n">
        <v>45735</v>
      </c>
      <c r="D1785" t="inlineStr">
        <is>
          <t>KRONOBERGS LÄN</t>
        </is>
      </c>
      <c r="E1785" t="inlineStr">
        <is>
          <t>TINGSRYD</t>
        </is>
      </c>
      <c r="F1785" t="inlineStr">
        <is>
          <t>Sveaskog</t>
        </is>
      </c>
      <c r="G1785" t="n">
        <v>3.5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11269-2025</t>
        </is>
      </c>
      <c r="B1786" s="1" t="n">
        <v>45726</v>
      </c>
      <c r="C1786" s="1" t="n">
        <v>45735</v>
      </c>
      <c r="D1786" t="inlineStr">
        <is>
          <t>KRONOBERGS LÄN</t>
        </is>
      </c>
      <c r="E1786" t="inlineStr">
        <is>
          <t>TINGSRYD</t>
        </is>
      </c>
      <c r="F1786" t="inlineStr">
        <is>
          <t>Sveaskog</t>
        </is>
      </c>
      <c r="G1786" t="n">
        <v>3.5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11267-2025</t>
        </is>
      </c>
      <c r="B1787" s="1" t="n">
        <v>45726</v>
      </c>
      <c r="C1787" s="1" t="n">
        <v>45735</v>
      </c>
      <c r="D1787" t="inlineStr">
        <is>
          <t>KRONOBERGS LÄN</t>
        </is>
      </c>
      <c r="E1787" t="inlineStr">
        <is>
          <t>TINGSRYD</t>
        </is>
      </c>
      <c r="F1787" t="inlineStr">
        <is>
          <t>Sveaskog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11300-2025</t>
        </is>
      </c>
      <c r="B1788" s="1" t="n">
        <v>45726</v>
      </c>
      <c r="C1788" s="1" t="n">
        <v>45735</v>
      </c>
      <c r="D1788" t="inlineStr">
        <is>
          <t>KRONOBERGS LÄN</t>
        </is>
      </c>
      <c r="E1788" t="inlineStr">
        <is>
          <t>TINGSRYD</t>
        </is>
      </c>
      <c r="F1788" t="inlineStr">
        <is>
          <t>Sveaskog</t>
        </is>
      </c>
      <c r="G1788" t="n">
        <v>6.6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11553-2025</t>
        </is>
      </c>
      <c r="B1789" s="1" t="n">
        <v>45727</v>
      </c>
      <c r="C1789" s="1" t="n">
        <v>45735</v>
      </c>
      <c r="D1789" t="inlineStr">
        <is>
          <t>KRONOBERGS LÄN</t>
        </is>
      </c>
      <c r="E1789" t="inlineStr">
        <is>
          <t>TINGSRYD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11619-2025</t>
        </is>
      </c>
      <c r="B1790" s="1" t="n">
        <v>45727</v>
      </c>
      <c r="C1790" s="1" t="n">
        <v>45735</v>
      </c>
      <c r="D1790" t="inlineStr">
        <is>
          <t>KRONOBERGS LÄN</t>
        </is>
      </c>
      <c r="E1790" t="inlineStr">
        <is>
          <t>TINGSRYD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11756-2025</t>
        </is>
      </c>
      <c r="B1791" s="1" t="n">
        <v>45727</v>
      </c>
      <c r="C1791" s="1" t="n">
        <v>45735</v>
      </c>
      <c r="D1791" t="inlineStr">
        <is>
          <t>KRONOBERGS LÄN</t>
        </is>
      </c>
      <c r="E1791" t="inlineStr">
        <is>
          <t>TINGSRYD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11533-2025</t>
        </is>
      </c>
      <c r="B1792" s="1" t="n">
        <v>45727</v>
      </c>
      <c r="C1792" s="1" t="n">
        <v>45735</v>
      </c>
      <c r="D1792" t="inlineStr">
        <is>
          <t>KRONOBERGS LÄN</t>
        </is>
      </c>
      <c r="E1792" t="inlineStr">
        <is>
          <t>TINGSRYD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11600-2025</t>
        </is>
      </c>
      <c r="B1793" s="1" t="n">
        <v>45727</v>
      </c>
      <c r="C1793" s="1" t="n">
        <v>45735</v>
      </c>
      <c r="D1793" t="inlineStr">
        <is>
          <t>KRONOBERGS LÄN</t>
        </is>
      </c>
      <c r="E1793" t="inlineStr">
        <is>
          <t>TINGSRYD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11624-2025</t>
        </is>
      </c>
      <c r="B1794" s="1" t="n">
        <v>45727</v>
      </c>
      <c r="C1794" s="1" t="n">
        <v>45735</v>
      </c>
      <c r="D1794" t="inlineStr">
        <is>
          <t>KRONOBERGS LÄN</t>
        </is>
      </c>
      <c r="E1794" t="inlineStr">
        <is>
          <t>TINGSRYD</t>
        </is>
      </c>
      <c r="G1794" t="n">
        <v>2.3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12054-2025</t>
        </is>
      </c>
      <c r="B1795" s="1" t="n">
        <v>45728</v>
      </c>
      <c r="C1795" s="1" t="n">
        <v>45735</v>
      </c>
      <c r="D1795" t="inlineStr">
        <is>
          <t>KRONOBERGS LÄN</t>
        </is>
      </c>
      <c r="E1795" t="inlineStr">
        <is>
          <t>TINGSRYD</t>
        </is>
      </c>
      <c r="F1795" t="inlineStr">
        <is>
          <t>Sveaskog</t>
        </is>
      </c>
      <c r="G1795" t="n">
        <v>3.2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12053-2025</t>
        </is>
      </c>
      <c r="B1796" s="1" t="n">
        <v>45728</v>
      </c>
      <c r="C1796" s="1" t="n">
        <v>45735</v>
      </c>
      <c r="D1796" t="inlineStr">
        <is>
          <t>KRONOBERGS LÄN</t>
        </is>
      </c>
      <c r="E1796" t="inlineStr">
        <is>
          <t>TINGSRYD</t>
        </is>
      </c>
      <c r="F1796" t="inlineStr">
        <is>
          <t>Sveaskog</t>
        </is>
      </c>
      <c r="G1796" t="n">
        <v>3.6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12057-2025</t>
        </is>
      </c>
      <c r="B1797" s="1" t="n">
        <v>45728</v>
      </c>
      <c r="C1797" s="1" t="n">
        <v>45735</v>
      </c>
      <c r="D1797" t="inlineStr">
        <is>
          <t>KRONOBERGS LÄN</t>
        </is>
      </c>
      <c r="E1797" t="inlineStr">
        <is>
          <t>TINGSRYD</t>
        </is>
      </c>
      <c r="F1797" t="inlineStr">
        <is>
          <t>Sveaskog</t>
        </is>
      </c>
      <c r="G1797" t="n">
        <v>9.1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12056-2025</t>
        </is>
      </c>
      <c r="B1798" s="1" t="n">
        <v>45728</v>
      </c>
      <c r="C1798" s="1" t="n">
        <v>45735</v>
      </c>
      <c r="D1798" t="inlineStr">
        <is>
          <t>KRONOBERGS LÄN</t>
        </is>
      </c>
      <c r="E1798" t="inlineStr">
        <is>
          <t>TINGSRYD</t>
        </is>
      </c>
      <c r="F1798" t="inlineStr">
        <is>
          <t>Sveaskog</t>
        </is>
      </c>
      <c r="G1798" t="n">
        <v>4.8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>
      <c r="A1799" t="inlineStr">
        <is>
          <t>A 12514-2025</t>
        </is>
      </c>
      <c r="B1799" s="1" t="n">
        <v>45730</v>
      </c>
      <c r="C1799" s="1" t="n">
        <v>45735</v>
      </c>
      <c r="D1799" t="inlineStr">
        <is>
          <t>KRONOBERGS LÄN</t>
        </is>
      </c>
      <c r="E1799" t="inlineStr">
        <is>
          <t>TINGSRYD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2025-03-19T17:25:00Z</dcterms:created>
  <dcterms:modified xmlns:dcterms="http://purl.org/dc/terms/" xmlns:xsi="http://www.w3.org/2001/XMLSchema-instance" xsi:type="dcterms:W3CDTF">2025-03-19T17:25:01Z</dcterms:modified>
</cp:coreProperties>
</file>