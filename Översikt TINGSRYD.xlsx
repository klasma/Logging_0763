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46230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46230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28168-2023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46230</v>
      </c>
      <c r="F15" t="inlineStr">
        <is>
          <t>KRONOBERGS LÄN</t>
        </is>
      </c>
      <c r="G15" t="inlineStr">
        <is>
          <t>TINGSRYD</t>
        </is>
      </c>
      <c r="I15" t="n">
        <v>1.1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Mörk dunört
Åkerkål</t>
        </is>
      </c>
      <c r="W15">
        <f>HYPERLINK("https://klasma.github.io/Logging_0763/artfynd/A 28168-2023 artfynd.xlsx", "A 28168-2023")</f>
        <v/>
      </c>
      <c r="X15">
        <f>HYPERLINK("https://klasma.github.io/Logging_0763/kartor/A 28168-2023 karta.png", "A 28168-2023")</f>
        <v/>
      </c>
      <c r="Y15">
        <f>HYPERLINK("https://klasma.github.io/Logging_0763/kartor_geotiff/A 28168-2023 georefererad karta.tif", "A 28168-2023")</f>
        <v/>
      </c>
      <c r="AA15">
        <f>HYPERLINK("https://klasma.github.io/Logging_0763/klagomål/A 28168-2023 FSC-klagomål.docx", "A 28168-2023")</f>
        <v/>
      </c>
      <c r="AB15">
        <f>HYPERLINK("https://klasma.github.io/Logging_0763/klagomålsmail/A 28168-2023 FSC-klagomål mail.docx", "A 28168-2023")</f>
        <v/>
      </c>
      <c r="AC15">
        <f>HYPERLINK("https://klasma.github.io/Logging_0763/tillsyn/A 28168-2023 tillsynsbegäran.docx", "A 28168-2023")</f>
        <v/>
      </c>
      <c r="AD15">
        <f>HYPERLINK("https://klasma.github.io/Logging_0763/tillsynsmail/A 28168-2023 tillsynsbegäran mail.docx", "A 28168-2023")</f>
        <v/>
      </c>
    </row>
    <row r="16" ht="15" customHeight="1">
      <c r="A16" t="inlineStr">
        <is>
          <t>A 26756-2025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45810</v>
      </c>
      <c r="E16" s="1" t="n">
        <v>46230</v>
      </c>
      <c r="F16" t="inlineStr">
        <is>
          <t>KRONOBERGS LÄN</t>
        </is>
      </c>
      <c r="G16" t="inlineStr">
        <is>
          <t>TINGSRYD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Slåttergubbe
Fläcknycklar</t>
        </is>
      </c>
      <c r="W16">
        <f>HYPERLINK("https://klasma.github.io/Logging_0763/artfynd/A 26756-2025 artfynd.xlsx", "A 26756-2025")</f>
        <v/>
      </c>
      <c r="X16">
        <f>HYPERLINK("https://klasma.github.io/Logging_0763/kartor/A 26756-2025 karta.png", "A 26756-2025")</f>
        <v/>
      </c>
      <c r="Y16">
        <f>HYPERLINK("https://klasma.github.io/Logging_0763/kartor_geotiff/A 26756-2025 georefererad karta.tif", "A 26756-2025")</f>
        <v/>
      </c>
      <c r="AA16">
        <f>HYPERLINK("https://klasma.github.io/Logging_0763/klagomål/A 26756-2025 FSC-klagomål.docx", "A 26756-2025")</f>
        <v/>
      </c>
      <c r="AB16">
        <f>HYPERLINK("https://klasma.github.io/Logging_0763/klagomålsmail/A 26756-2025 FSC-klagomål mail.docx", "A 26756-2025")</f>
        <v/>
      </c>
      <c r="AC16">
        <f>HYPERLINK("https://klasma.github.io/Logging_0763/tillsyn/A 26756-2025 tillsynsbegäran.docx", "A 26756-2025")</f>
        <v/>
      </c>
      <c r="AD16">
        <f>HYPERLINK("https://klasma.github.io/Logging_0763/tillsynsmail/A 26756-2025 tillsynsbegäran mail.docx", "A 26756-2025")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46230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46230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46230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46230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46230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46230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46230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46230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46230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46230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46230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46230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46230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46230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46230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46230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46230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46230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46230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46230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46230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HYPERLINK("https://klasma.github.io/Logging_0763/artfynd/A 30997-2026 artfynd.xlsx", "A 30997-2026")</f>
        <v/>
      </c>
      <c r="X38">
        <f>HYPERLINK("https://klasma.github.io/Logging_0763/kartor/A 30997-2026 karta.png", "A 30997-2026")</f>
        <v/>
      </c>
      <c r="Y38">
        <f>HYPERLINK("https://klasma.github.io/Logging_0763/kartor_geotiff/A 30997-2026 georefererad karta.tif", "A 30997-2026")</f>
        <v/>
      </c>
      <c r="AA38">
        <f>HYPERLINK("https://klasma.github.io/Logging_0763/klagomål/A 30997-2026 FSC-klagomål.docx", "A 30997-2026")</f>
        <v/>
      </c>
      <c r="AB38">
        <f>HYPERLINK("https://klasma.github.io/Logging_0763/klagomålsmail/A 30997-2026 FSC-klagomål mail.docx", "A 30997-2026")</f>
        <v/>
      </c>
      <c r="AC38">
        <f>HYPERLINK("https://klasma.github.io/Logging_0763/tillsyn/A 30997-2026 tillsynsbegäran.docx", "A 30997-2026")</f>
        <v/>
      </c>
      <c r="AD38">
        <f>HYPERLINK("https://klasma.github.io/Logging_0763/tillsynsmail/A 30997-2026 tillsynsbegäran mail.docx", "A 30997-2026")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46230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46230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46230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46230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46230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46230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46230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46230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46230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46230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46230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46230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46230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46230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46230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46230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46230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46230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46230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46230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46230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46230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46230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46230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46230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46230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46230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46230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46230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46230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46230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46230</v>
      </c>
      <c r="F70" t="inlineStr">
        <is>
          <t>KRONOBERGS LÄN</t>
        </is>
      </c>
      <c r="G70" t="inlineStr">
        <is>
          <t>TINGSRYD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46230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38461-2022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46230</v>
      </c>
      <c r="F72" t="inlineStr">
        <is>
          <t>KRONOBERGS LÄN</t>
        </is>
      </c>
      <c r="G72" t="inlineStr">
        <is>
          <t>TINGSRYD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46230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46230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46230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46230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46230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46230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46230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46230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46230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46230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46230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46230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46230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46230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46230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46230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46230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46230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46230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46230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46230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46230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46230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46230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46230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46230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46230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46230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46230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46230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46230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46230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46230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46230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46230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46230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46230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46230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46230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46230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46230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46230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46230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46230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46230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46230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46230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46230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46230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46230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46230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46230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46230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46230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46230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46230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46230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46230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46230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46230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46230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46230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46230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46230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46230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46230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46230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46230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46230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46230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46230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46230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46230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46230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46230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46230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46230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46230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46230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46230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46230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46230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46230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46230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46230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46230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46230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46230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46230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46230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46230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46230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46230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46230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46230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46230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46230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46230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46230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46230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46230</v>
      </c>
      <c r="F173" t="inlineStr">
        <is>
          <t>KRONOBERGS LÄN</t>
        </is>
      </c>
      <c r="G173" t="inlineStr">
        <is>
          <t>TINGSRYD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46230</v>
      </c>
      <c r="F174" t="inlineStr">
        <is>
          <t>KRONOBERGS LÄN</t>
        </is>
      </c>
      <c r="G174" t="inlineStr">
        <is>
          <t>TINGSRYD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45395</v>
      </c>
      <c r="E175" s="1" t="n">
        <v>46230</v>
      </c>
      <c r="F175" t="inlineStr">
        <is>
          <t>KRONOBERGS LÄN</t>
        </is>
      </c>
      <c r="G175" t="inlineStr">
        <is>
          <t>TINGSRYD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45274</v>
      </c>
      <c r="E176" s="1" t="n">
        <v>46230</v>
      </c>
      <c r="F176" t="inlineStr">
        <is>
          <t>KRONOBERGS LÄN</t>
        </is>
      </c>
      <c r="G176" t="inlineStr">
        <is>
          <t>TINGSRYD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46230</v>
      </c>
      <c r="F177" t="inlineStr">
        <is>
          <t>KRONOBERGS LÄN</t>
        </is>
      </c>
      <c r="G177" t="inlineStr">
        <is>
          <t>TINGSRYD</t>
        </is>
      </c>
      <c r="H177" t="inlineStr">
        <is>
          <t>Övriga Aktiebolag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46230</v>
      </c>
      <c r="F178" t="inlineStr">
        <is>
          <t>KRONOBERGS LÄN</t>
        </is>
      </c>
      <c r="G178" t="inlineStr">
        <is>
          <t>TINGSRYD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46230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46230</v>
      </c>
      <c r="F180" t="inlineStr">
        <is>
          <t>KRONOBERGS LÄN</t>
        </is>
      </c>
      <c r="G180" t="inlineStr">
        <is>
          <t>TINGSRYD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46230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46230</v>
      </c>
      <c r="F182" t="inlineStr">
        <is>
          <t>KRONOBERGS LÄN</t>
        </is>
      </c>
      <c r="G182" t="inlineStr">
        <is>
          <t>TINGSRYD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44676</v>
      </c>
      <c r="E183" s="1" t="n">
        <v>46230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46230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46230</v>
      </c>
      <c r="F185" t="inlineStr">
        <is>
          <t>KRONOBERGS LÄN</t>
        </is>
      </c>
      <c r="G185" t="inlineStr">
        <is>
          <t>TINGSRYD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44965</v>
      </c>
      <c r="E186" s="1" t="n">
        <v>46230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46230</v>
      </c>
      <c r="F187" t="inlineStr">
        <is>
          <t>KRONOBERGS LÄN</t>
        </is>
      </c>
      <c r="G187" t="inlineStr">
        <is>
          <t>TINGSRYD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46230</v>
      </c>
      <c r="F188" t="inlineStr">
        <is>
          <t>KRONOBERGS LÄN</t>
        </is>
      </c>
      <c r="G188" t="inlineStr">
        <is>
          <t>TINGSRYD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45631</v>
      </c>
      <c r="E189" s="1" t="n">
        <v>46230</v>
      </c>
      <c r="F189" t="inlineStr">
        <is>
          <t>KRONOBERGS LÄN</t>
        </is>
      </c>
      <c r="G189" t="inlineStr">
        <is>
          <t>TINGSRYD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46230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46230</v>
      </c>
      <c r="F191" t="inlineStr">
        <is>
          <t>KRONOBERGS LÄN</t>
        </is>
      </c>
      <c r="G191" t="inlineStr">
        <is>
          <t>TINGSRYD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45477</v>
      </c>
      <c r="E192" s="1" t="n">
        <v>46230</v>
      </c>
      <c r="F192" t="inlineStr">
        <is>
          <t>KRONOBERGS LÄN</t>
        </is>
      </c>
      <c r="G192" t="inlineStr">
        <is>
          <t>TINGSRYD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44631</v>
      </c>
      <c r="E193" s="1" t="n">
        <v>46230</v>
      </c>
      <c r="F193" t="inlineStr">
        <is>
          <t>KRONOBERGS LÄN</t>
        </is>
      </c>
      <c r="G193" t="inlineStr">
        <is>
          <t>TINGSRYD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46230</v>
      </c>
      <c r="F194" t="inlineStr">
        <is>
          <t>KRONOBERGS LÄN</t>
        </is>
      </c>
      <c r="G194" t="inlineStr">
        <is>
          <t>TINGSRYD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46230</v>
      </c>
      <c r="F195" t="inlineStr">
        <is>
          <t>KRONOBERGS LÄN</t>
        </is>
      </c>
      <c r="G195" t="inlineStr">
        <is>
          <t>TINGSRYD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46230</v>
      </c>
      <c r="F196" t="inlineStr">
        <is>
          <t>KRONOBERGS LÄN</t>
        </is>
      </c>
      <c r="G196" t="inlineStr">
        <is>
          <t>TINGSRYD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46230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26221-2023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45091</v>
      </c>
      <c r="E198" s="1" t="n">
        <v>46230</v>
      </c>
      <c r="F198" t="inlineStr">
        <is>
          <t>KRONOBERGS LÄN</t>
        </is>
      </c>
      <c r="G198" t="inlineStr">
        <is>
          <t>TINGSRYD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46230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44492-2021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44435</v>
      </c>
      <c r="E200" s="1" t="n">
        <v>46230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46230</v>
      </c>
      <c r="F201" t="inlineStr">
        <is>
          <t>KRONOBERGS LÄN</t>
        </is>
      </c>
      <c r="G201" t="inlineStr">
        <is>
          <t>TINGSRYD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46230</v>
      </c>
      <c r="F202" t="inlineStr">
        <is>
          <t>KRONOBERGS LÄN</t>
        </is>
      </c>
      <c r="G202" t="inlineStr">
        <is>
          <t>TINGSRYD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44991</v>
      </c>
      <c r="E203" s="1" t="n">
        <v>46230</v>
      </c>
      <c r="F203" t="inlineStr">
        <is>
          <t>KRONOBERGS LÄN</t>
        </is>
      </c>
      <c r="G203" t="inlineStr">
        <is>
          <t>TINGSRYD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46230</v>
      </c>
      <c r="F204" t="inlineStr">
        <is>
          <t>KRONOBERGS LÄN</t>
        </is>
      </c>
      <c r="G204" t="inlineStr">
        <is>
          <t>TINGSRYD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46230</v>
      </c>
      <c r="F205" t="inlineStr">
        <is>
          <t>KRONOBERGS LÄN</t>
        </is>
      </c>
      <c r="G205" t="inlineStr">
        <is>
          <t>TINGSRYD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45637</v>
      </c>
      <c r="E206" s="1" t="n">
        <v>46230</v>
      </c>
      <c r="F206" t="inlineStr">
        <is>
          <t>KRONOBERGS LÄN</t>
        </is>
      </c>
      <c r="G206" t="inlineStr">
        <is>
          <t>TINGSRYD</t>
        </is>
      </c>
      <c r="H206" t="inlineStr">
        <is>
          <t>Övriga Aktiebolag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46230</v>
      </c>
      <c r="F207" t="inlineStr">
        <is>
          <t>KRONOBERGS LÄN</t>
        </is>
      </c>
      <c r="G207" t="inlineStr">
        <is>
          <t>TINGSRYD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46230</v>
      </c>
      <c r="F208" t="inlineStr">
        <is>
          <t>KRONOBERGS LÄN</t>
        </is>
      </c>
      <c r="G208" t="inlineStr">
        <is>
          <t>TINGSRYD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45117</v>
      </c>
      <c r="E209" s="1" t="n">
        <v>46230</v>
      </c>
      <c r="F209" t="inlineStr">
        <is>
          <t>KRONOBERGS LÄN</t>
        </is>
      </c>
      <c r="G209" t="inlineStr">
        <is>
          <t>TINGSRYD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46230</v>
      </c>
      <c r="F210" t="inlineStr">
        <is>
          <t>KRONOBERGS LÄN</t>
        </is>
      </c>
      <c r="G210" t="inlineStr">
        <is>
          <t>TINGSRYD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45033</v>
      </c>
      <c r="E211" s="1" t="n">
        <v>46230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46230</v>
      </c>
      <c r="F212" t="inlineStr">
        <is>
          <t>KRONOBERGS LÄN</t>
        </is>
      </c>
      <c r="G212" t="inlineStr">
        <is>
          <t>TINGSRYD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46230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44967</v>
      </c>
      <c r="E214" s="1" t="n">
        <v>46230</v>
      </c>
      <c r="F214" t="inlineStr">
        <is>
          <t>KRONOBERGS LÄN</t>
        </is>
      </c>
      <c r="G214" t="inlineStr">
        <is>
          <t>TINGSRYD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71388-2021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44540</v>
      </c>
      <c r="E215" s="1" t="n">
        <v>46230</v>
      </c>
      <c r="F215" t="inlineStr">
        <is>
          <t>KRONOBERGS LÄN</t>
        </is>
      </c>
      <c r="G215" t="inlineStr">
        <is>
          <t>TINGSRYD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46230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46230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45019</v>
      </c>
      <c r="E218" s="1" t="n">
        <v>46230</v>
      </c>
      <c r="F218" t="inlineStr">
        <is>
          <t>KRONOBERGS LÄN</t>
        </is>
      </c>
      <c r="G218" t="inlineStr">
        <is>
          <t>TINGSRYD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44904</v>
      </c>
      <c r="E219" s="1" t="n">
        <v>46230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46230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46230</v>
      </c>
      <c r="F221" t="inlineStr">
        <is>
          <t>KRONOBERGS LÄN</t>
        </is>
      </c>
      <c r="G221" t="inlineStr">
        <is>
          <t>TINGSRYD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46230</v>
      </c>
      <c r="F222" t="inlineStr">
        <is>
          <t>KRONOBERGS LÄN</t>
        </is>
      </c>
      <c r="G222" t="inlineStr">
        <is>
          <t>TINGSRYD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46230</v>
      </c>
      <c r="F223" t="inlineStr">
        <is>
          <t>KRONOBERGS LÄN</t>
        </is>
      </c>
      <c r="G223" t="inlineStr">
        <is>
          <t>TINGSRYD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45447</v>
      </c>
      <c r="E224" s="1" t="n">
        <v>46230</v>
      </c>
      <c r="F224" t="inlineStr">
        <is>
          <t>KRONOBERGS LÄN</t>
        </is>
      </c>
      <c r="G224" t="inlineStr">
        <is>
          <t>TINGSRYD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45466</v>
      </c>
      <c r="E225" s="1" t="n">
        <v>46230</v>
      </c>
      <c r="F225" t="inlineStr">
        <is>
          <t>KRONOBERGS LÄN</t>
        </is>
      </c>
      <c r="G225" t="inlineStr">
        <is>
          <t>TINGSRYD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45247</v>
      </c>
      <c r="E226" s="1" t="n">
        <v>46230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46230</v>
      </c>
      <c r="F227" t="inlineStr">
        <is>
          <t>KRONOBERGS LÄN</t>
        </is>
      </c>
      <c r="G227" t="inlineStr">
        <is>
          <t>TINGSRYD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46230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46230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46230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44928</v>
      </c>
      <c r="E231" s="1" t="n">
        <v>46230</v>
      </c>
      <c r="F231" t="inlineStr">
        <is>
          <t>KRONOBERGS LÄN</t>
        </is>
      </c>
      <c r="G231" t="inlineStr">
        <is>
          <t>TINGSRYD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68681-2021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46230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44570</v>
      </c>
      <c r="E233" s="1" t="n">
        <v>46230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54466-2021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46230</v>
      </c>
      <c r="F234" t="inlineStr">
        <is>
          <t>KRONOBERGS LÄN</t>
        </is>
      </c>
      <c r="G234" t="inlineStr">
        <is>
          <t>TINGSRYD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46230</v>
      </c>
      <c r="F235" t="inlineStr">
        <is>
          <t>KRONOBERGS LÄN</t>
        </is>
      </c>
      <c r="G235" t="inlineStr">
        <is>
          <t>TINGSRYD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74236-2021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44558</v>
      </c>
      <c r="E236" s="1" t="n">
        <v>46230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39099-2023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45164</v>
      </c>
      <c r="E237" s="1" t="n">
        <v>46230</v>
      </c>
      <c r="F237" t="inlineStr">
        <is>
          <t>KRONOBERGS LÄN</t>
        </is>
      </c>
      <c r="G237" t="inlineStr">
        <is>
          <t>TINGSRYD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45164</v>
      </c>
      <c r="E238" s="1" t="n">
        <v>46230</v>
      </c>
      <c r="F238" t="inlineStr">
        <is>
          <t>KRONOBERGS LÄN</t>
        </is>
      </c>
      <c r="G238" t="inlineStr">
        <is>
          <t>TINGSRYD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46230</v>
      </c>
      <c r="F239" t="inlineStr">
        <is>
          <t>KRONOBERGS LÄN</t>
        </is>
      </c>
      <c r="G239" t="inlineStr">
        <is>
          <t>TINGSRYD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44509</v>
      </c>
      <c r="E240" s="1" t="n">
        <v>46230</v>
      </c>
      <c r="F240" t="inlineStr">
        <is>
          <t>KRONOBERGS LÄN</t>
        </is>
      </c>
      <c r="G240" t="inlineStr">
        <is>
          <t>TINGSRYD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46230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46230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59093-2021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46230</v>
      </c>
      <c r="F243" t="inlineStr">
        <is>
          <t>KRONOBERGS LÄN</t>
        </is>
      </c>
      <c r="G243" t="inlineStr">
        <is>
          <t>TINGSRYD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36623-2022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44804</v>
      </c>
      <c r="E244" s="1" t="n">
        <v>46230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44804</v>
      </c>
      <c r="E245" s="1" t="n">
        <v>46230</v>
      </c>
      <c r="F245" t="inlineStr">
        <is>
          <t>KRONOBERGS LÄN</t>
        </is>
      </c>
      <c r="G245" t="inlineStr">
        <is>
          <t>TINGSRYD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46230</v>
      </c>
      <c r="F246" t="inlineStr">
        <is>
          <t>KRONOBERGS LÄN</t>
        </is>
      </c>
      <c r="G246" t="inlineStr">
        <is>
          <t>TINGSRYD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46230</v>
      </c>
      <c r="F247" t="inlineStr">
        <is>
          <t>KRONOBERGS LÄN</t>
        </is>
      </c>
      <c r="G247" t="inlineStr">
        <is>
          <t>TINGSRYD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44481</v>
      </c>
      <c r="E248" s="1" t="n">
        <v>46230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46230</v>
      </c>
      <c r="F249" t="inlineStr">
        <is>
          <t>KRONOBERGS LÄN</t>
        </is>
      </c>
      <c r="G249" t="inlineStr">
        <is>
          <t>TINGSRYD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46230</v>
      </c>
      <c r="F250" t="inlineStr">
        <is>
          <t>KRONOBERGS LÄN</t>
        </is>
      </c>
      <c r="G250" t="inlineStr">
        <is>
          <t>TINGSRYD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66789-2021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44522</v>
      </c>
      <c r="E251" s="1" t="n">
        <v>46230</v>
      </c>
      <c r="F251" t="inlineStr">
        <is>
          <t>KRONOBERGS LÄN</t>
        </is>
      </c>
      <c r="G251" t="inlineStr">
        <is>
          <t>TINGSRYD</t>
        </is>
      </c>
      <c r="H251" t="inlineStr">
        <is>
          <t>Övriga Aktiebolag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46230</v>
      </c>
      <c r="F252" t="inlineStr">
        <is>
          <t>KRONOBERGS LÄN</t>
        </is>
      </c>
      <c r="G252" t="inlineStr">
        <is>
          <t>TINGSRYD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28953-2022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46230</v>
      </c>
      <c r="F253" t="inlineStr">
        <is>
          <t>KRONOBERGS LÄN</t>
        </is>
      </c>
      <c r="G253" t="inlineStr">
        <is>
          <t>TINGSRYD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46230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46230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45610</v>
      </c>
      <c r="E256" s="1" t="n">
        <v>46230</v>
      </c>
      <c r="F256" t="inlineStr">
        <is>
          <t>KRONOBERGS LÄN</t>
        </is>
      </c>
      <c r="G256" t="inlineStr">
        <is>
          <t>TINGSRYD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46230</v>
      </c>
      <c r="F257" t="inlineStr">
        <is>
          <t>KRONOBERGS LÄN</t>
        </is>
      </c>
      <c r="G257" t="inlineStr">
        <is>
          <t>TINGSRYD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45033</v>
      </c>
      <c r="E258" s="1" t="n">
        <v>46230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46230</v>
      </c>
      <c r="F259" t="inlineStr">
        <is>
          <t>KRONOBERGS LÄN</t>
        </is>
      </c>
      <c r="G259" t="inlineStr">
        <is>
          <t>TINGSRYD</t>
        </is>
      </c>
      <c r="I259" t="n">
        <v>14.7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46230</v>
      </c>
      <c r="F260" t="inlineStr">
        <is>
          <t>KRONOBERGS LÄN</t>
        </is>
      </c>
      <c r="G260" t="inlineStr">
        <is>
          <t>TINGSRYD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45580</v>
      </c>
      <c r="E261" s="1" t="n">
        <v>46230</v>
      </c>
      <c r="F261" t="inlineStr">
        <is>
          <t>KRONOBERGS LÄN</t>
        </is>
      </c>
      <c r="G261" t="inlineStr">
        <is>
          <t>TINGSRYD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44818</v>
      </c>
      <c r="E262" s="1" t="n">
        <v>46230</v>
      </c>
      <c r="F262" t="inlineStr">
        <is>
          <t>KRONOBERGS LÄN</t>
        </is>
      </c>
      <c r="G262" t="inlineStr">
        <is>
          <t>TINGSRYD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46230</v>
      </c>
      <c r="F263" t="inlineStr">
        <is>
          <t>KRONOBERGS LÄN</t>
        </is>
      </c>
      <c r="G263" t="inlineStr">
        <is>
          <t>TINGSRYD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46230</v>
      </c>
      <c r="F264" t="inlineStr">
        <is>
          <t>KRONOBERGS LÄN</t>
        </is>
      </c>
      <c r="G264" t="inlineStr">
        <is>
          <t>TINGSRYD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46230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46230</v>
      </c>
      <c r="F266" t="inlineStr">
        <is>
          <t>KRONOBERGS LÄN</t>
        </is>
      </c>
      <c r="G266" t="inlineStr">
        <is>
          <t>TINGSRYD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44971</v>
      </c>
      <c r="E267" s="1" t="n">
        <v>46230</v>
      </c>
      <c r="F267" t="inlineStr">
        <is>
          <t>KRONOBERGS LÄN</t>
        </is>
      </c>
      <c r="G267" t="inlineStr">
        <is>
          <t>TINGSRYD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46230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45014</v>
      </c>
      <c r="E269" s="1" t="n">
        <v>46230</v>
      </c>
      <c r="F269" t="inlineStr">
        <is>
          <t>KRONOBERGS LÄN</t>
        </is>
      </c>
      <c r="G269" t="inlineStr">
        <is>
          <t>TINGSRYD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46230</v>
      </c>
      <c r="F270" t="inlineStr">
        <is>
          <t>KRONOBERGS LÄN</t>
        </is>
      </c>
      <c r="G270" t="inlineStr">
        <is>
          <t>TINGSRYD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46230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45710</v>
      </c>
      <c r="E272" s="1" t="n">
        <v>46230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46230</v>
      </c>
      <c r="F273" t="inlineStr">
        <is>
          <t>KRONOBERGS LÄN</t>
        </is>
      </c>
      <c r="G273" t="inlineStr">
        <is>
          <t>TINGSRYD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46230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46230</v>
      </c>
      <c r="F275" t="inlineStr">
        <is>
          <t>KRONOBERGS LÄN</t>
        </is>
      </c>
      <c r="G275" t="inlineStr">
        <is>
          <t>TINGSRYD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42304-2021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44426</v>
      </c>
      <c r="E276" s="1" t="n">
        <v>46230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46230</v>
      </c>
      <c r="F277" t="inlineStr">
        <is>
          <t>KRONOBERGS LÄN</t>
        </is>
      </c>
      <c r="G277" t="inlineStr">
        <is>
          <t>TINGSRYD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44617</v>
      </c>
      <c r="E278" s="1" t="n">
        <v>46230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46230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45274</v>
      </c>
      <c r="E280" s="1" t="n">
        <v>46230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46230</v>
      </c>
      <c r="F281" t="inlineStr">
        <is>
          <t>KRONOBERGS LÄN</t>
        </is>
      </c>
      <c r="G281" t="inlineStr">
        <is>
          <t>TINGSRYD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45702</v>
      </c>
      <c r="E282" s="1" t="n">
        <v>46230</v>
      </c>
      <c r="F282" t="inlineStr">
        <is>
          <t>KRONOBERGS LÄN</t>
        </is>
      </c>
      <c r="G282" t="inlineStr">
        <is>
          <t>TINGSRYD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44753</v>
      </c>
      <c r="E283" s="1" t="n">
        <v>46230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45394</v>
      </c>
      <c r="E284" s="1" t="n">
        <v>46230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57430-2021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44483</v>
      </c>
      <c r="E285" s="1" t="n">
        <v>46230</v>
      </c>
      <c r="F285" t="inlineStr">
        <is>
          <t>KRONOBERGS LÄN</t>
        </is>
      </c>
      <c r="G285" t="inlineStr">
        <is>
          <t>TINGSRYD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46230</v>
      </c>
      <c r="F286" t="inlineStr">
        <is>
          <t>KRONOBERGS LÄN</t>
        </is>
      </c>
      <c r="G286" t="inlineStr">
        <is>
          <t>TINGSRYD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46230</v>
      </c>
      <c r="F287" t="inlineStr">
        <is>
          <t>KRONOBERGS LÄN</t>
        </is>
      </c>
      <c r="G287" t="inlineStr">
        <is>
          <t>TINGSRYD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46230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46230</v>
      </c>
      <c r="F289" t="inlineStr">
        <is>
          <t>KRONOBERGS LÄN</t>
        </is>
      </c>
      <c r="G289" t="inlineStr">
        <is>
          <t>TINGSRYD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54728-2022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44883</v>
      </c>
      <c r="E290" s="1" t="n">
        <v>46230</v>
      </c>
      <c r="F290" t="inlineStr">
        <is>
          <t>KRONOBERGS LÄN</t>
        </is>
      </c>
      <c r="G290" t="inlineStr">
        <is>
          <t>TINGSRYD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46230</v>
      </c>
      <c r="F291" t="inlineStr">
        <is>
          <t>KRONOBERGS LÄN</t>
        </is>
      </c>
      <c r="G291" t="inlineStr">
        <is>
          <t>TINGSRYD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44984</v>
      </c>
      <c r="E292" s="1" t="n">
        <v>46230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45097</v>
      </c>
      <c r="E293" s="1" t="n">
        <v>46230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44938</v>
      </c>
      <c r="E294" s="1" t="n">
        <v>46230</v>
      </c>
      <c r="F294" t="inlineStr">
        <is>
          <t>KRONOBERGS LÄN</t>
        </is>
      </c>
      <c r="G294" t="inlineStr">
        <is>
          <t>TINGSRYD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44951</v>
      </c>
      <c r="E295" s="1" t="n">
        <v>46230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44881</v>
      </c>
      <c r="E296" s="1" t="n">
        <v>46230</v>
      </c>
      <c r="F296" t="inlineStr">
        <is>
          <t>KRONOBERGS LÄN</t>
        </is>
      </c>
      <c r="G296" t="inlineStr">
        <is>
          <t>TINGSRYD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46230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72450-2021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44545</v>
      </c>
      <c r="E298" s="1" t="n">
        <v>46230</v>
      </c>
      <c r="F298" t="inlineStr">
        <is>
          <t>KRONOBERGS LÄN</t>
        </is>
      </c>
      <c r="G298" t="inlineStr">
        <is>
          <t>TINGSRYD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46230</v>
      </c>
      <c r="F299" t="inlineStr">
        <is>
          <t>KRONOBERGS LÄN</t>
        </is>
      </c>
      <c r="G299" t="inlineStr">
        <is>
          <t>TINGSRYD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44691</v>
      </c>
      <c r="E300" s="1" t="n">
        <v>46230</v>
      </c>
      <c r="F300" t="inlineStr">
        <is>
          <t>KRONOBERGS LÄN</t>
        </is>
      </c>
      <c r="G300" t="inlineStr">
        <is>
          <t>TINGSRYD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46230</v>
      </c>
      <c r="F301" t="inlineStr">
        <is>
          <t>KRONOBERGS LÄN</t>
        </is>
      </c>
      <c r="G301" t="inlineStr">
        <is>
          <t>TINGSRYD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46230</v>
      </c>
      <c r="F302" t="inlineStr">
        <is>
          <t>KRONOBERGS LÄN</t>
        </is>
      </c>
      <c r="G302" t="inlineStr">
        <is>
          <t>TINGSRYD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46230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45247</v>
      </c>
      <c r="E304" s="1" t="n">
        <v>46230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45049</v>
      </c>
      <c r="E305" s="1" t="n">
        <v>46230</v>
      </c>
      <c r="F305" t="inlineStr">
        <is>
          <t>KRONOBERGS LÄN</t>
        </is>
      </c>
      <c r="G305" t="inlineStr">
        <is>
          <t>TINGSRYD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46230</v>
      </c>
      <c r="F306" t="inlineStr">
        <is>
          <t>KRONOBERGS LÄN</t>
        </is>
      </c>
      <c r="G306" t="inlineStr">
        <is>
          <t>TINGSRYD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46230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44492-2021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44435</v>
      </c>
      <c r="E308" s="1" t="n">
        <v>46230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45709</v>
      </c>
      <c r="E309" s="1" t="n">
        <v>46230</v>
      </c>
      <c r="F309" t="inlineStr">
        <is>
          <t>KRONOBERGS LÄN</t>
        </is>
      </c>
      <c r="G309" t="inlineStr">
        <is>
          <t>TINGSRYD</t>
        </is>
      </c>
      <c r="H309" t="inlineStr">
        <is>
          <t>Övriga Aktiebolag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46230</v>
      </c>
      <c r="F310" t="inlineStr">
        <is>
          <t>KRONOBERGS LÄN</t>
        </is>
      </c>
      <c r="G310" t="inlineStr">
        <is>
          <t>TINGSRYD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45349</v>
      </c>
      <c r="E311" s="1" t="n">
        <v>46230</v>
      </c>
      <c r="F311" t="inlineStr">
        <is>
          <t>KRONOBERGS LÄN</t>
        </is>
      </c>
      <c r="G311" t="inlineStr">
        <is>
          <t>TINGSRYD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46230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44481</v>
      </c>
      <c r="E313" s="1" t="n">
        <v>46230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46230</v>
      </c>
      <c r="F314" t="inlineStr">
        <is>
          <t>KRONOBERGS LÄN</t>
        </is>
      </c>
      <c r="G314" t="inlineStr">
        <is>
          <t>TINGSRYD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44945</v>
      </c>
      <c r="E315" s="1" t="n">
        <v>46230</v>
      </c>
      <c r="F315" t="inlineStr">
        <is>
          <t>KRONOBERGS LÄN</t>
        </is>
      </c>
      <c r="G315" t="inlineStr">
        <is>
          <t>TINGSRYD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44949</v>
      </c>
      <c r="E316" s="1" t="n">
        <v>46230</v>
      </c>
      <c r="F316" t="inlineStr">
        <is>
          <t>KRONOBERGS LÄN</t>
        </is>
      </c>
      <c r="G316" t="inlineStr">
        <is>
          <t>TINGSRYD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46230</v>
      </c>
      <c r="F317" t="inlineStr">
        <is>
          <t>KRONOBERGS LÄN</t>
        </is>
      </c>
      <c r="G317" t="inlineStr">
        <is>
          <t>TINGSRYD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37002-2025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46230</v>
      </c>
      <c r="F318" t="inlineStr">
        <is>
          <t>KRONOBERGS LÄN</t>
        </is>
      </c>
      <c r="G318" t="inlineStr">
        <is>
          <t>TINGSRYD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46230</v>
      </c>
      <c r="F319" t="inlineStr">
        <is>
          <t>KRONOBERGS LÄN</t>
        </is>
      </c>
      <c r="G319" t="inlineStr">
        <is>
          <t>TINGSRYD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45877</v>
      </c>
      <c r="E320" s="1" t="n">
        <v>46230</v>
      </c>
      <c r="F320" t="inlineStr">
        <is>
          <t>KRONOBERGS LÄN</t>
        </is>
      </c>
      <c r="G320" t="inlineStr">
        <is>
          <t>TINGSRYD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45782</v>
      </c>
      <c r="E321" s="1" t="n">
        <v>46230</v>
      </c>
      <c r="F321" t="inlineStr">
        <is>
          <t>KRONOBERGS LÄN</t>
        </is>
      </c>
      <c r="G321" t="inlineStr">
        <is>
          <t>TINGSRYD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45881</v>
      </c>
      <c r="E322" s="1" t="n">
        <v>46230</v>
      </c>
      <c r="F322" t="inlineStr">
        <is>
          <t>KRONOBERGS LÄN</t>
        </is>
      </c>
      <c r="G322" t="inlineStr">
        <is>
          <t>TINGSRYD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46230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46230</v>
      </c>
      <c r="F324" t="inlineStr">
        <is>
          <t>KRONOBERGS LÄN</t>
        </is>
      </c>
      <c r="G324" t="inlineStr">
        <is>
          <t>TINGSRYD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46230</v>
      </c>
      <c r="F325" t="inlineStr">
        <is>
          <t>KRONOBERGS LÄN</t>
        </is>
      </c>
      <c r="G325" t="inlineStr">
        <is>
          <t>TINGSRYD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46230</v>
      </c>
      <c r="F326" t="inlineStr">
        <is>
          <t>KRONOBERGS LÄN</t>
        </is>
      </c>
      <c r="G326" t="inlineStr">
        <is>
          <t>TINGSRYD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46230</v>
      </c>
      <c r="F327" t="inlineStr">
        <is>
          <t>KRONOBERGS LÄN</t>
        </is>
      </c>
      <c r="G327" t="inlineStr">
        <is>
          <t>TINGSRYD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46230</v>
      </c>
      <c r="F328" t="inlineStr">
        <is>
          <t>KRONOBERGS LÄN</t>
        </is>
      </c>
      <c r="G328" t="inlineStr">
        <is>
          <t>TINGSRYD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49739-2024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45596</v>
      </c>
      <c r="E329" s="1" t="n">
        <v>46230</v>
      </c>
      <c r="F329" t="inlineStr">
        <is>
          <t>KRONOBERGS LÄN</t>
        </is>
      </c>
      <c r="G329" t="inlineStr">
        <is>
          <t>TINGSRYD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45821</v>
      </c>
      <c r="E330" s="1" t="n">
        <v>46230</v>
      </c>
      <c r="F330" t="inlineStr">
        <is>
          <t>KRONOBERGS LÄN</t>
        </is>
      </c>
      <c r="G330" t="inlineStr">
        <is>
          <t>TINGSRYD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46230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46230</v>
      </c>
      <c r="F332" t="inlineStr">
        <is>
          <t>KRONOBERGS LÄN</t>
        </is>
      </c>
      <c r="G332" t="inlineStr">
        <is>
          <t>TINGSRYD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45755</v>
      </c>
      <c r="E333" s="1" t="n">
        <v>46230</v>
      </c>
      <c r="F333" t="inlineStr">
        <is>
          <t>KRONOBERGS LÄN</t>
        </is>
      </c>
      <c r="G333" t="inlineStr">
        <is>
          <t>TINGSRYD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46230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46230</v>
      </c>
      <c r="F335" t="inlineStr">
        <is>
          <t>KRONOBERGS LÄN</t>
        </is>
      </c>
      <c r="G335" t="inlineStr">
        <is>
          <t>TINGSRYD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46230</v>
      </c>
      <c r="F336" t="inlineStr">
        <is>
          <t>KRONOBERGS LÄN</t>
        </is>
      </c>
      <c r="G336" t="inlineStr">
        <is>
          <t>TINGSRYD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46230</v>
      </c>
      <c r="F337" t="inlineStr">
        <is>
          <t>KRONOBERGS LÄN</t>
        </is>
      </c>
      <c r="G337" t="inlineStr">
        <is>
          <t>TINGSRYD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44728</v>
      </c>
      <c r="E338" s="1" t="n">
        <v>46230</v>
      </c>
      <c r="F338" t="inlineStr">
        <is>
          <t>KRONOBERGS LÄN</t>
        </is>
      </c>
      <c r="G338" t="inlineStr">
        <is>
          <t>TINGSRYD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46230</v>
      </c>
      <c r="F339" t="inlineStr">
        <is>
          <t>KRONOBERGS LÄN</t>
        </is>
      </c>
      <c r="G339" t="inlineStr">
        <is>
          <t>TINGSRYD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45722</v>
      </c>
      <c r="E340" s="1" t="n">
        <v>46230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46230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58781-2021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46230</v>
      </c>
      <c r="F342" t="inlineStr">
        <is>
          <t>KRONOBERGS LÄN</t>
        </is>
      </c>
      <c r="G342" t="inlineStr">
        <is>
          <t>TINGSRYD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46230</v>
      </c>
      <c r="F343" t="inlineStr">
        <is>
          <t>KRONOBERGS LÄN</t>
        </is>
      </c>
      <c r="G343" t="inlineStr">
        <is>
          <t>TINGSRYD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46230</v>
      </c>
      <c r="F344" t="inlineStr">
        <is>
          <t>KRONOBERGS LÄN</t>
        </is>
      </c>
      <c r="G344" t="inlineStr">
        <is>
          <t>TINGSRYD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46230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46230</v>
      </c>
      <c r="F346" t="inlineStr">
        <is>
          <t>KRONOBERGS LÄN</t>
        </is>
      </c>
      <c r="G346" t="inlineStr">
        <is>
          <t>TINGSRYD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45474</v>
      </c>
      <c r="E347" s="1" t="n">
        <v>46230</v>
      </c>
      <c r="F347" t="inlineStr">
        <is>
          <t>KRONOBERGS LÄN</t>
        </is>
      </c>
      <c r="G347" t="inlineStr">
        <is>
          <t>TINGSRYD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46230</v>
      </c>
      <c r="F348" t="inlineStr">
        <is>
          <t>KRONOBERGS LÄN</t>
        </is>
      </c>
      <c r="G348" t="inlineStr">
        <is>
          <t>TINGSRYD</t>
        </is>
      </c>
      <c r="H348" t="inlineStr">
        <is>
          <t>Kommuner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46230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46230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46230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45474</v>
      </c>
      <c r="E352" s="1" t="n">
        <v>46230</v>
      </c>
      <c r="F352" t="inlineStr">
        <is>
          <t>KRONOBERGS LÄN</t>
        </is>
      </c>
      <c r="G352" t="inlineStr">
        <is>
          <t>TINGSRYD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46230</v>
      </c>
      <c r="F353" t="inlineStr">
        <is>
          <t>KRONOBERGS LÄN</t>
        </is>
      </c>
      <c r="G353" t="inlineStr">
        <is>
          <t>TINGSRYD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46230</v>
      </c>
      <c r="F354" t="inlineStr">
        <is>
          <t>KRONOBERGS LÄN</t>
        </is>
      </c>
      <c r="G354" t="inlineStr">
        <is>
          <t>TINGSRYD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41124-2024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45559</v>
      </c>
      <c r="E355" s="1" t="n">
        <v>46230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46230</v>
      </c>
      <c r="F356" t="inlineStr">
        <is>
          <t>KRONOBERGS LÄN</t>
        </is>
      </c>
      <c r="G356" t="inlineStr">
        <is>
          <t>TINGSRYD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45260</v>
      </c>
      <c r="E357" s="1" t="n">
        <v>46230</v>
      </c>
      <c r="F357" t="inlineStr">
        <is>
          <t>KRONOBERGS LÄN</t>
        </is>
      </c>
      <c r="G357" t="inlineStr">
        <is>
          <t>TINGSRYD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46230</v>
      </c>
      <c r="F358" t="inlineStr">
        <is>
          <t>KRONOBERGS LÄN</t>
        </is>
      </c>
      <c r="G358" t="inlineStr">
        <is>
          <t>TINGSRYD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46230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45897</v>
      </c>
      <c r="E360" s="1" t="n">
        <v>46230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45742</v>
      </c>
      <c r="E361" s="1" t="n">
        <v>46230</v>
      </c>
      <c r="F361" t="inlineStr">
        <is>
          <t>KRONOBERGS LÄN</t>
        </is>
      </c>
      <c r="G361" t="inlineStr">
        <is>
          <t>TINGSRYD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45443</v>
      </c>
      <c r="E362" s="1" t="n">
        <v>46230</v>
      </c>
      <c r="F362" t="inlineStr">
        <is>
          <t>KRONOBERGS LÄN</t>
        </is>
      </c>
      <c r="G362" t="inlineStr">
        <is>
          <t>TINGSRYD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46230</v>
      </c>
      <c r="F363" t="inlineStr">
        <is>
          <t>KRONOBERGS LÄN</t>
        </is>
      </c>
      <c r="G363" t="inlineStr">
        <is>
          <t>TINGSRYD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46230</v>
      </c>
      <c r="F364" t="inlineStr">
        <is>
          <t>KRONOBERGS LÄN</t>
        </is>
      </c>
      <c r="G364" t="inlineStr">
        <is>
          <t>TINGSRYD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46230</v>
      </c>
      <c r="F365" t="inlineStr">
        <is>
          <t>KRONOBERGS LÄN</t>
        </is>
      </c>
      <c r="G365" t="inlineStr">
        <is>
          <t>TINGSRYD</t>
        </is>
      </c>
      <c r="H365" t="inlineStr">
        <is>
          <t>Kommuner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46230</v>
      </c>
      <c r="F366" t="inlineStr">
        <is>
          <t>KRONOBERGS LÄN</t>
        </is>
      </c>
      <c r="G366" t="inlineStr">
        <is>
          <t>TINGSRYD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44631</v>
      </c>
      <c r="E367" s="1" t="n">
        <v>46230</v>
      </c>
      <c r="F367" t="inlineStr">
        <is>
          <t>KRONOBERGS LÄN</t>
        </is>
      </c>
      <c r="G367" t="inlineStr">
        <is>
          <t>TINGSRYD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46230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49250-2021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44454</v>
      </c>
      <c r="E369" s="1" t="n">
        <v>46230</v>
      </c>
      <c r="F369" t="inlineStr">
        <is>
          <t>KRONOBERGS LÄN</t>
        </is>
      </c>
      <c r="G369" t="inlineStr">
        <is>
          <t>TINGSRYD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45792</v>
      </c>
      <c r="E370" s="1" t="n">
        <v>46230</v>
      </c>
      <c r="F370" t="inlineStr">
        <is>
          <t>KRONOBERGS LÄN</t>
        </is>
      </c>
      <c r="G370" t="inlineStr">
        <is>
          <t>TINGSRYD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46230</v>
      </c>
      <c r="F371" t="inlineStr">
        <is>
          <t>KRONOBERGS LÄN</t>
        </is>
      </c>
      <c r="G371" t="inlineStr">
        <is>
          <t>TINGSRYD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46230</v>
      </c>
      <c r="F372" t="inlineStr">
        <is>
          <t>KRONOBERGS LÄN</t>
        </is>
      </c>
      <c r="G372" t="inlineStr">
        <is>
          <t>TINGSRYD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22576-2025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45789</v>
      </c>
      <c r="E373" s="1" t="n">
        <v>46230</v>
      </c>
      <c r="F373" t="inlineStr">
        <is>
          <t>KRONOBERGS LÄN</t>
        </is>
      </c>
      <c r="G373" t="inlineStr">
        <is>
          <t>TINGSRYD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46230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46230</v>
      </c>
      <c r="F375" t="inlineStr">
        <is>
          <t>KRONOBERGS LÄN</t>
        </is>
      </c>
      <c r="G375" t="inlineStr">
        <is>
          <t>TINGSRYD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45755</v>
      </c>
      <c r="E376" s="1" t="n">
        <v>46230</v>
      </c>
      <c r="F376" t="inlineStr">
        <is>
          <t>KRONOBERGS LÄN</t>
        </is>
      </c>
      <c r="G376" t="inlineStr">
        <is>
          <t>TINGSRYD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46230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46230</v>
      </c>
      <c r="F378" t="inlineStr">
        <is>
          <t>KRONOBERGS LÄN</t>
        </is>
      </c>
      <c r="G378" t="inlineStr">
        <is>
          <t>TINGSRYD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46230</v>
      </c>
      <c r="F379" t="inlineStr">
        <is>
          <t>KRONOBERGS LÄN</t>
        </is>
      </c>
      <c r="G379" t="inlineStr">
        <is>
          <t>TINGSRYD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45467</v>
      </c>
      <c r="E380" s="1" t="n">
        <v>46230</v>
      </c>
      <c r="F380" t="inlineStr">
        <is>
          <t>KRONOBERGS LÄN</t>
        </is>
      </c>
      <c r="G380" t="inlineStr">
        <is>
          <t>TINGSRYD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45467</v>
      </c>
      <c r="E381" s="1" t="n">
        <v>46230</v>
      </c>
      <c r="F381" t="inlineStr">
        <is>
          <t>KRONOBERGS LÄN</t>
        </is>
      </c>
      <c r="G381" t="inlineStr">
        <is>
          <t>TINGSRYD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46230</v>
      </c>
      <c r="F382" t="inlineStr">
        <is>
          <t>KRONOBERGS LÄN</t>
        </is>
      </c>
      <c r="G382" t="inlineStr">
        <is>
          <t>TINGSRYD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46230</v>
      </c>
      <c r="F383" t="inlineStr">
        <is>
          <t>KRONOBERGS LÄN</t>
        </is>
      </c>
      <c r="G383" t="inlineStr">
        <is>
          <t>TINGSRYD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57769-2025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46230</v>
      </c>
      <c r="F384" t="inlineStr">
        <is>
          <t>KRONOBERGS LÄN</t>
        </is>
      </c>
      <c r="G384" t="inlineStr">
        <is>
          <t>TINGSRYD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46230</v>
      </c>
      <c r="F385" t="inlineStr">
        <is>
          <t>KRONOBERGS LÄN</t>
        </is>
      </c>
      <c r="G385" t="inlineStr">
        <is>
          <t>TINGSRYD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45082</v>
      </c>
      <c r="E386" s="1" t="n">
        <v>46230</v>
      </c>
      <c r="F386" t="inlineStr">
        <is>
          <t>KRONOBERGS LÄN</t>
        </is>
      </c>
      <c r="G386" t="inlineStr">
        <is>
          <t>TINGSRYD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46230</v>
      </c>
      <c r="F387" t="inlineStr">
        <is>
          <t>KRONOBERGS LÄN</t>
        </is>
      </c>
      <c r="G387" t="inlineStr">
        <is>
          <t>TINGSRYD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19935-2026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46230</v>
      </c>
      <c r="F388" t="inlineStr">
        <is>
          <t>KRONOBERGS LÄN</t>
        </is>
      </c>
      <c r="G388" t="inlineStr">
        <is>
          <t>TINGSRYD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45923</v>
      </c>
      <c r="E389" s="1" t="n">
        <v>46230</v>
      </c>
      <c r="F389" t="inlineStr">
        <is>
          <t>KRONOBERGS LÄN</t>
        </is>
      </c>
      <c r="G389" t="inlineStr">
        <is>
          <t>TINGSRYD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45299</v>
      </c>
      <c r="E390" s="1" t="n">
        <v>46230</v>
      </c>
      <c r="F390" t="inlineStr">
        <is>
          <t>KRONOBERGS LÄN</t>
        </is>
      </c>
      <c r="G390" t="inlineStr">
        <is>
          <t>TINGSRYD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46230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46230</v>
      </c>
      <c r="F392" t="inlineStr">
        <is>
          <t>KRONOBERGS LÄN</t>
        </is>
      </c>
      <c r="G392" t="inlineStr">
        <is>
          <t>TINGSRYD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44634</v>
      </c>
      <c r="E393" s="1" t="n">
        <v>46230</v>
      </c>
      <c r="F393" t="inlineStr">
        <is>
          <t>KRONOBERGS LÄN</t>
        </is>
      </c>
      <c r="G393" t="inlineStr">
        <is>
          <t>TINGSRYD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17346-2023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45035</v>
      </c>
      <c r="E394" s="1" t="n">
        <v>46230</v>
      </c>
      <c r="F394" t="inlineStr">
        <is>
          <t>KRONOBERGS LÄN</t>
        </is>
      </c>
      <c r="G394" t="inlineStr">
        <is>
          <t>TINGSRYD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45548</v>
      </c>
      <c r="E395" s="1" t="n">
        <v>46230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63938-2025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46230</v>
      </c>
      <c r="F396" t="inlineStr">
        <is>
          <t>KRONOBERGS LÄN</t>
        </is>
      </c>
      <c r="G396" t="inlineStr">
        <is>
          <t>TINGSRYD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46230</v>
      </c>
      <c r="F397" t="inlineStr">
        <is>
          <t>KRONOBERGS LÄN</t>
        </is>
      </c>
      <c r="G397" t="inlineStr">
        <is>
          <t>TINGSRYD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51652-2021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44462</v>
      </c>
      <c r="E398" s="1" t="n">
        <v>46230</v>
      </c>
      <c r="F398" t="inlineStr">
        <is>
          <t>KRONOBERGS LÄN</t>
        </is>
      </c>
      <c r="G398" t="inlineStr">
        <is>
          <t>TINGSRYD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46136</v>
      </c>
      <c r="E399" s="1" t="n">
        <v>46230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46230</v>
      </c>
      <c r="F400" t="inlineStr">
        <is>
          <t>KRONOBERGS LÄN</t>
        </is>
      </c>
      <c r="G400" t="inlineStr">
        <is>
          <t>TINGSRYD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45711</v>
      </c>
      <c r="E401" s="1" t="n">
        <v>46230</v>
      </c>
      <c r="F401" t="inlineStr">
        <is>
          <t>KRONOBERGS LÄN</t>
        </is>
      </c>
      <c r="G401" t="inlineStr">
        <is>
          <t>TINGSRYD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40057-2024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45553</v>
      </c>
      <c r="E402" s="1" t="n">
        <v>46230</v>
      </c>
      <c r="F402" t="inlineStr">
        <is>
          <t>KRONOBERGS LÄN</t>
        </is>
      </c>
      <c r="G402" t="inlineStr">
        <is>
          <t>TINGSRYD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46141</v>
      </c>
      <c r="E403" s="1" t="n">
        <v>46230</v>
      </c>
      <c r="F403" t="inlineStr">
        <is>
          <t>KRONOBERGS LÄN</t>
        </is>
      </c>
      <c r="G403" t="inlineStr">
        <is>
          <t>TINGSRYD</t>
        </is>
      </c>
      <c r="H403" t="inlineStr">
        <is>
          <t>Övriga Aktiebolag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45445</v>
      </c>
      <c r="E404" s="1" t="n">
        <v>46230</v>
      </c>
      <c r="F404" t="inlineStr">
        <is>
          <t>KRONOBERGS LÄN</t>
        </is>
      </c>
      <c r="G404" t="inlineStr">
        <is>
          <t>TINGSRYD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46230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50335-2021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44459</v>
      </c>
      <c r="E406" s="1" t="n">
        <v>46230</v>
      </c>
      <c r="F406" t="inlineStr">
        <is>
          <t>KRONOBERGS LÄN</t>
        </is>
      </c>
      <c r="G406" t="inlineStr">
        <is>
          <t>TINGSRYD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44991</v>
      </c>
      <c r="E407" s="1" t="n">
        <v>46230</v>
      </c>
      <c r="F407" t="inlineStr">
        <is>
          <t>KRONOBERGS LÄN</t>
        </is>
      </c>
      <c r="G407" t="inlineStr">
        <is>
          <t>TINGSRYD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44904</v>
      </c>
      <c r="E408" s="1" t="n">
        <v>46230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45062</v>
      </c>
      <c r="E409" s="1" t="n">
        <v>46230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46230</v>
      </c>
      <c r="F410" t="inlineStr">
        <is>
          <t>KRONOBERGS LÄN</t>
        </is>
      </c>
      <c r="G410" t="inlineStr">
        <is>
          <t>TINGSRYD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45012</v>
      </c>
      <c r="E411" s="1" t="n">
        <v>46230</v>
      </c>
      <c r="F411" t="inlineStr">
        <is>
          <t>KRONOBERGS LÄN</t>
        </is>
      </c>
      <c r="G411" t="inlineStr">
        <is>
          <t>TINGSRYD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45278</v>
      </c>
      <c r="E412" s="1" t="n">
        <v>46230</v>
      </c>
      <c r="F412" t="inlineStr">
        <is>
          <t>KRONOBERGS LÄN</t>
        </is>
      </c>
      <c r="G412" t="inlineStr">
        <is>
          <t>TINGSRYD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45162</v>
      </c>
      <c r="E413" s="1" t="n">
        <v>46230</v>
      </c>
      <c r="F413" t="inlineStr">
        <is>
          <t>KRONOBERGS LÄN</t>
        </is>
      </c>
      <c r="G413" t="inlineStr">
        <is>
          <t>TINGSRYD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46230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44909</v>
      </c>
      <c r="E415" s="1" t="n">
        <v>46230</v>
      </c>
      <c r="F415" t="inlineStr">
        <is>
          <t>KRONOBERGS LÄN</t>
        </is>
      </c>
      <c r="G415" t="inlineStr">
        <is>
          <t>TINGSRYD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44928</v>
      </c>
      <c r="E416" s="1" t="n">
        <v>46230</v>
      </c>
      <c r="F416" t="inlineStr">
        <is>
          <t>KRONOBERGS LÄN</t>
        </is>
      </c>
      <c r="G416" t="inlineStr">
        <is>
          <t>TINGSRYD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45933</v>
      </c>
      <c r="E417" s="1" t="n">
        <v>46230</v>
      </c>
      <c r="F417" t="inlineStr">
        <is>
          <t>KRONOBERGS LÄN</t>
        </is>
      </c>
      <c r="G417" t="inlineStr">
        <is>
          <t>TINGSRYD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46230</v>
      </c>
      <c r="F418" t="inlineStr">
        <is>
          <t>KRONOBERGS LÄN</t>
        </is>
      </c>
      <c r="G418" t="inlineStr">
        <is>
          <t>TINGSRYD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44965</v>
      </c>
      <c r="E419" s="1" t="n">
        <v>46230</v>
      </c>
      <c r="F419" t="inlineStr">
        <is>
          <t>KRONOBERGS LÄN</t>
        </is>
      </c>
      <c r="G419" t="inlineStr">
        <is>
          <t>TINGSRYD</t>
        </is>
      </c>
      <c r="H419" t="inlineStr">
        <is>
          <t>Kommuner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17694-2025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46230</v>
      </c>
      <c r="F420" t="inlineStr">
        <is>
          <t>KRONOBERGS LÄN</t>
        </is>
      </c>
      <c r="G420" t="inlineStr">
        <is>
          <t>TINGSRYD</t>
        </is>
      </c>
      <c r="H420" t="inlineStr">
        <is>
          <t>Övriga Aktiebolag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46230</v>
      </c>
      <c r="F421" t="inlineStr">
        <is>
          <t>KRONOBERGS LÄN</t>
        </is>
      </c>
      <c r="G421" t="inlineStr">
        <is>
          <t>TINGSRYD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44790</v>
      </c>
      <c r="E422" s="1" t="n">
        <v>46230</v>
      </c>
      <c r="F422" t="inlineStr">
        <is>
          <t>KRONOBERGS LÄN</t>
        </is>
      </c>
      <c r="G422" t="inlineStr">
        <is>
          <t>TINGSRYD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45904</v>
      </c>
      <c r="E423" s="1" t="n">
        <v>46230</v>
      </c>
      <c r="F423" t="inlineStr">
        <is>
          <t>KRONOBERGS LÄN</t>
        </is>
      </c>
      <c r="G423" t="inlineStr">
        <is>
          <t>TINGSRYD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46230</v>
      </c>
      <c r="F424" t="inlineStr">
        <is>
          <t>KRONOBERGS LÄN</t>
        </is>
      </c>
      <c r="G424" t="inlineStr">
        <is>
          <t>TINGSRYD</t>
        </is>
      </c>
      <c r="H424" t="inlineStr">
        <is>
          <t>Övriga Aktiebolag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46230</v>
      </c>
      <c r="F425" t="inlineStr">
        <is>
          <t>KRONOBERGS LÄN</t>
        </is>
      </c>
      <c r="G425" t="inlineStr">
        <is>
          <t>TINGSRYD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44888</v>
      </c>
      <c r="E426" s="1" t="n">
        <v>46230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46230</v>
      </c>
      <c r="F427" t="inlineStr">
        <is>
          <t>KRONOBERGS LÄN</t>
        </is>
      </c>
      <c r="G427" t="inlineStr">
        <is>
          <t>TINGSRYD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46230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45107</v>
      </c>
      <c r="E429" s="1" t="n">
        <v>46230</v>
      </c>
      <c r="F429" t="inlineStr">
        <is>
          <t>KRONOBERGS LÄN</t>
        </is>
      </c>
      <c r="G429" t="inlineStr">
        <is>
          <t>TINGSRYD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45069</v>
      </c>
      <c r="E430" s="1" t="n">
        <v>46230</v>
      </c>
      <c r="F430" t="inlineStr">
        <is>
          <t>KRONOBERGS LÄN</t>
        </is>
      </c>
      <c r="G430" t="inlineStr">
        <is>
          <t>TINGSRYD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46230</v>
      </c>
      <c r="F431" t="inlineStr">
        <is>
          <t>KRONOBERGS LÄN</t>
        </is>
      </c>
      <c r="G431" t="inlineStr">
        <is>
          <t>TINGSRYD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51557-2025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46230</v>
      </c>
      <c r="F432" t="inlineStr">
        <is>
          <t>KRONOBERGS LÄN</t>
        </is>
      </c>
      <c r="G432" t="inlineStr">
        <is>
          <t>TINGSRYD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46230</v>
      </c>
      <c r="F433" t="inlineStr">
        <is>
          <t>KRONOBERGS LÄN</t>
        </is>
      </c>
      <c r="G433" t="inlineStr">
        <is>
          <t>TINGSRYD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46230</v>
      </c>
      <c r="F434" t="inlineStr">
        <is>
          <t>KRONOBERGS LÄN</t>
        </is>
      </c>
      <c r="G434" t="inlineStr">
        <is>
          <t>TINGSRYD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46230</v>
      </c>
      <c r="F435" t="inlineStr">
        <is>
          <t>KRONOBERGS LÄN</t>
        </is>
      </c>
      <c r="G435" t="inlineStr">
        <is>
          <t>TINGSRYD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46230</v>
      </c>
      <c r="F436" t="inlineStr">
        <is>
          <t>KRONOBERGS LÄN</t>
        </is>
      </c>
      <c r="G436" t="inlineStr">
        <is>
          <t>TINGSRYD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46230</v>
      </c>
      <c r="F437" t="inlineStr">
        <is>
          <t>KRONOBERGS LÄN</t>
        </is>
      </c>
      <c r="G437" t="inlineStr">
        <is>
          <t>TINGSRYD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45953</v>
      </c>
      <c r="E438" s="1" t="n">
        <v>46230</v>
      </c>
      <c r="F438" t="inlineStr">
        <is>
          <t>KRONOBERGS LÄN</t>
        </is>
      </c>
      <c r="G438" t="inlineStr">
        <is>
          <t>TINGSRYD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46230</v>
      </c>
      <c r="F439" t="inlineStr">
        <is>
          <t>KRONOBERGS LÄN</t>
        </is>
      </c>
      <c r="G439" t="inlineStr">
        <is>
          <t>TINGSRYD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38853-2024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45547</v>
      </c>
      <c r="E440" s="1" t="n">
        <v>46230</v>
      </c>
      <c r="F440" t="inlineStr">
        <is>
          <t>KRONOBERGS LÄN</t>
        </is>
      </c>
      <c r="G440" t="inlineStr">
        <is>
          <t>TINGSRYD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66182-2021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44518</v>
      </c>
      <c r="E441" s="1" t="n">
        <v>46230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46230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61445-2023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46230</v>
      </c>
      <c r="F443" t="inlineStr">
        <is>
          <t>KRONOBERGS LÄN</t>
        </is>
      </c>
      <c r="G443" t="inlineStr">
        <is>
          <t>TINGSRYD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46230</v>
      </c>
      <c r="F444" t="inlineStr">
        <is>
          <t>KRONOBERGS LÄN</t>
        </is>
      </c>
      <c r="G444" t="inlineStr">
        <is>
          <t>TINGSRYD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46230</v>
      </c>
      <c r="F445" t="inlineStr">
        <is>
          <t>KRONOBERGS LÄN</t>
        </is>
      </c>
      <c r="G445" t="inlineStr">
        <is>
          <t>TINGSRYD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54702-2024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45618</v>
      </c>
      <c r="E446" s="1" t="n">
        <v>46230</v>
      </c>
      <c r="F446" t="inlineStr">
        <is>
          <t>KRONOBERGS LÄN</t>
        </is>
      </c>
      <c r="G446" t="inlineStr">
        <is>
          <t>TINGSRYD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46230</v>
      </c>
      <c r="F447" t="inlineStr">
        <is>
          <t>KRONOBERGS LÄN</t>
        </is>
      </c>
      <c r="G447" t="inlineStr">
        <is>
          <t>TINGSRYD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46230</v>
      </c>
      <c r="F448" t="inlineStr">
        <is>
          <t>KRONOBERGS LÄN</t>
        </is>
      </c>
      <c r="G448" t="inlineStr">
        <is>
          <t>TINGSRYD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45407</v>
      </c>
      <c r="E449" s="1" t="n">
        <v>46230</v>
      </c>
      <c r="F449" t="inlineStr">
        <is>
          <t>KRONOBERGS LÄN</t>
        </is>
      </c>
      <c r="G449" t="inlineStr">
        <is>
          <t>TINGSRYD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45539</v>
      </c>
      <c r="E450" s="1" t="n">
        <v>46230</v>
      </c>
      <c r="F450" t="inlineStr">
        <is>
          <t>KRONOBERGS LÄN</t>
        </is>
      </c>
      <c r="G450" t="inlineStr">
        <is>
          <t>TINGSRYD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44967</v>
      </c>
      <c r="E451" s="1" t="n">
        <v>46230</v>
      </c>
      <c r="F451" t="inlineStr">
        <is>
          <t>KRONOBERGS LÄN</t>
        </is>
      </c>
      <c r="G451" t="inlineStr">
        <is>
          <t>TINGSRYD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44967</v>
      </c>
      <c r="E452" s="1" t="n">
        <v>46230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46230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44930</v>
      </c>
      <c r="E454" s="1" t="n">
        <v>46230</v>
      </c>
      <c r="F454" t="inlineStr">
        <is>
          <t>KRONOBERGS LÄN</t>
        </is>
      </c>
      <c r="G454" t="inlineStr">
        <is>
          <t>TINGSRYD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45097</v>
      </c>
      <c r="E455" s="1" t="n">
        <v>46230</v>
      </c>
      <c r="F455" t="inlineStr">
        <is>
          <t>KRONOBERGS LÄN</t>
        </is>
      </c>
      <c r="G455" t="inlineStr">
        <is>
          <t>TINGSRYD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45331</v>
      </c>
      <c r="E456" s="1" t="n">
        <v>46230</v>
      </c>
      <c r="F456" t="inlineStr">
        <is>
          <t>KRONOBERGS LÄN</t>
        </is>
      </c>
      <c r="G456" t="inlineStr">
        <is>
          <t>TINGSRYD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46230</v>
      </c>
      <c r="F457" t="inlineStr">
        <is>
          <t>KRONOBERGS LÄN</t>
        </is>
      </c>
      <c r="G457" t="inlineStr">
        <is>
          <t>TINGSRYD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46230</v>
      </c>
      <c r="F458" t="inlineStr">
        <is>
          <t>KRONOBERGS LÄN</t>
        </is>
      </c>
      <c r="G458" t="inlineStr">
        <is>
          <t>TINGSRYD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44950</v>
      </c>
      <c r="E459" s="1" t="n">
        <v>46230</v>
      </c>
      <c r="F459" t="inlineStr">
        <is>
          <t>KRONOBERGS LÄN</t>
        </is>
      </c>
      <c r="G459" t="inlineStr">
        <is>
          <t>TINGSRYD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44599</v>
      </c>
      <c r="E460" s="1" t="n">
        <v>46230</v>
      </c>
      <c r="F460" t="inlineStr">
        <is>
          <t>KRONOBERGS LÄN</t>
        </is>
      </c>
      <c r="G460" t="inlineStr">
        <is>
          <t>TINGSRYD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45439</v>
      </c>
      <c r="E461" s="1" t="n">
        <v>46230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21706-2026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46230</v>
      </c>
      <c r="F462" t="inlineStr">
        <is>
          <t>KRONOBERGS LÄN</t>
        </is>
      </c>
      <c r="G462" t="inlineStr">
        <is>
          <t>TINGSRYD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44988</v>
      </c>
      <c r="E463" s="1" t="n">
        <v>46230</v>
      </c>
      <c r="F463" t="inlineStr">
        <is>
          <t>KRONOBERGS LÄN</t>
        </is>
      </c>
      <c r="G463" t="inlineStr">
        <is>
          <t>TINGSRYD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46230</v>
      </c>
      <c r="F464" t="inlineStr">
        <is>
          <t>KRONOBERGS LÄN</t>
        </is>
      </c>
      <c r="G464" t="inlineStr">
        <is>
          <t>TINGSRYD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45432</v>
      </c>
      <c r="E465" s="1" t="n">
        <v>46230</v>
      </c>
      <c r="F465" t="inlineStr">
        <is>
          <t>KRONOBERGS LÄN</t>
        </is>
      </c>
      <c r="G465" t="inlineStr">
        <is>
          <t>TINGSRYD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45727</v>
      </c>
      <c r="E466" s="1" t="n">
        <v>46230</v>
      </c>
      <c r="F466" t="inlineStr">
        <is>
          <t>KRONOBERGS LÄN</t>
        </is>
      </c>
      <c r="G466" t="inlineStr">
        <is>
          <t>TINGSRYD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45412</v>
      </c>
      <c r="E467" s="1" t="n">
        <v>46230</v>
      </c>
      <c r="F467" t="inlineStr">
        <is>
          <t>KRONOBERGS LÄN</t>
        </is>
      </c>
      <c r="G467" t="inlineStr">
        <is>
          <t>TINGSRYD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45771</v>
      </c>
      <c r="E468" s="1" t="n">
        <v>46230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29916-2022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44756</v>
      </c>
      <c r="E469" s="1" t="n">
        <v>46230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46230</v>
      </c>
      <c r="F470" t="inlineStr">
        <is>
          <t>KRONOBERGS LÄN</t>
        </is>
      </c>
      <c r="G470" t="inlineStr">
        <is>
          <t>TINGSRYD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57258-2025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45979</v>
      </c>
      <c r="E471" s="1" t="n">
        <v>46230</v>
      </c>
      <c r="F471" t="inlineStr">
        <is>
          <t>KRONOBERGS LÄN</t>
        </is>
      </c>
      <c r="G471" t="inlineStr">
        <is>
          <t>TINGSRYD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44953</v>
      </c>
      <c r="E472" s="1" t="n">
        <v>46230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44599</v>
      </c>
      <c r="E473" s="1" t="n">
        <v>46230</v>
      </c>
      <c r="F473" t="inlineStr">
        <is>
          <t>KRONOBERGS LÄN</t>
        </is>
      </c>
      <c r="G473" t="inlineStr">
        <is>
          <t>TINGSRYD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46230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35997-2024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46230</v>
      </c>
      <c r="F475" t="inlineStr">
        <is>
          <t>KRONOBERGS LÄN</t>
        </is>
      </c>
      <c r="G475" t="inlineStr">
        <is>
          <t>TINGSRYD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46230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57959-2025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45982</v>
      </c>
      <c r="E477" s="1" t="n">
        <v>46230</v>
      </c>
      <c r="F477" t="inlineStr">
        <is>
          <t>KRONOBERGS LÄN</t>
        </is>
      </c>
      <c r="G477" t="inlineStr">
        <is>
          <t>TINGSRYD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11352-2023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44993</v>
      </c>
      <c r="E478" s="1" t="n">
        <v>46230</v>
      </c>
      <c r="F478" t="inlineStr">
        <is>
          <t>KRONOBERGS LÄN</t>
        </is>
      </c>
      <c r="G478" t="inlineStr">
        <is>
          <t>TINGSRYD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46230</v>
      </c>
      <c r="F479" t="inlineStr">
        <is>
          <t>KRONOBERGS LÄN</t>
        </is>
      </c>
      <c r="G479" t="inlineStr">
        <is>
          <t>TINGSRYD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45735</v>
      </c>
      <c r="E480" s="1" t="n">
        <v>46230</v>
      </c>
      <c r="F480" t="inlineStr">
        <is>
          <t>KRONOBERGS LÄN</t>
        </is>
      </c>
      <c r="G480" t="inlineStr">
        <is>
          <t>TINGSRYD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45735</v>
      </c>
      <c r="E481" s="1" t="n">
        <v>46230</v>
      </c>
      <c r="F481" t="inlineStr">
        <is>
          <t>KRONOBERGS LÄN</t>
        </is>
      </c>
      <c r="G481" t="inlineStr">
        <is>
          <t>TINGSRYD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46230</v>
      </c>
      <c r="F482" t="inlineStr">
        <is>
          <t>KRONOBERGS LÄN</t>
        </is>
      </c>
      <c r="G482" t="inlineStr">
        <is>
          <t>TINGSRYD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45325</v>
      </c>
      <c r="E483" s="1" t="n">
        <v>46230</v>
      </c>
      <c r="F483" t="inlineStr">
        <is>
          <t>KRONOBERGS LÄN</t>
        </is>
      </c>
      <c r="G483" t="inlineStr">
        <is>
          <t>TINGSRYD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44930</v>
      </c>
      <c r="E484" s="1" t="n">
        <v>46230</v>
      </c>
      <c r="F484" t="inlineStr">
        <is>
          <t>KRONOBERGS LÄN</t>
        </is>
      </c>
      <c r="G484" t="inlineStr">
        <is>
          <t>TINGSRYD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46230</v>
      </c>
      <c r="F485" t="inlineStr">
        <is>
          <t>KRONOBERGS LÄN</t>
        </is>
      </c>
      <c r="G485" t="inlineStr">
        <is>
          <t>TINGSRYD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45117</v>
      </c>
      <c r="E486" s="1" t="n">
        <v>46230</v>
      </c>
      <c r="F486" t="inlineStr">
        <is>
          <t>KRONOBERGS LÄN</t>
        </is>
      </c>
      <c r="G486" t="inlineStr">
        <is>
          <t>TINGSRYD</t>
        </is>
      </c>
      <c r="I486" t="n">
        <v>8.800000000000001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45117</v>
      </c>
      <c r="E487" s="1" t="n">
        <v>46230</v>
      </c>
      <c r="F487" t="inlineStr">
        <is>
          <t>KRONOBERGS LÄN</t>
        </is>
      </c>
      <c r="G487" t="inlineStr">
        <is>
          <t>TINGSRYD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45395</v>
      </c>
      <c r="E488" s="1" t="n">
        <v>46230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40882-2023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46230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25937-2023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46230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46230</v>
      </c>
      <c r="F491" t="inlineStr">
        <is>
          <t>KRONOBERGS LÄN</t>
        </is>
      </c>
      <c r="G491" t="inlineStr">
        <is>
          <t>TINGSRYD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45201</v>
      </c>
      <c r="E492" s="1" t="n">
        <v>46230</v>
      </c>
      <c r="F492" t="inlineStr">
        <is>
          <t>KRONOBERGS LÄN</t>
        </is>
      </c>
      <c r="G492" t="inlineStr">
        <is>
          <t>TINGSRYD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41746-2021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44425</v>
      </c>
      <c r="E493" s="1" t="n">
        <v>46230</v>
      </c>
      <c r="F493" t="inlineStr">
        <is>
          <t>KRONOBERGS LÄN</t>
        </is>
      </c>
      <c r="G493" t="inlineStr">
        <is>
          <t>TINGSRYD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39747-2024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46230</v>
      </c>
      <c r="F494" t="inlineStr">
        <is>
          <t>KRONOBERGS LÄN</t>
        </is>
      </c>
      <c r="G494" t="inlineStr">
        <is>
          <t>TINGSRYD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6669-2025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46230</v>
      </c>
      <c r="F495" t="inlineStr">
        <is>
          <t>KRONOBERGS LÄN</t>
        </is>
      </c>
      <c r="G495" t="inlineStr">
        <is>
          <t>TINGSRYD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46230</v>
      </c>
      <c r="F496" t="inlineStr">
        <is>
          <t>KRONOBERGS LÄN</t>
        </is>
      </c>
      <c r="G496" t="inlineStr">
        <is>
          <t>TINGSRYD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44657</v>
      </c>
      <c r="E497" s="1" t="n">
        <v>46230</v>
      </c>
      <c r="F497" t="inlineStr">
        <is>
          <t>KRONOBERGS LÄN</t>
        </is>
      </c>
      <c r="G497" t="inlineStr">
        <is>
          <t>TINGSRYD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46230</v>
      </c>
      <c r="F498" t="inlineStr">
        <is>
          <t>KRONOBERGS LÄN</t>
        </is>
      </c>
      <c r="G498" t="inlineStr">
        <is>
          <t>TINGSRYD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46230</v>
      </c>
      <c r="F499" t="inlineStr">
        <is>
          <t>KRONOBERGS LÄN</t>
        </is>
      </c>
      <c r="G499" t="inlineStr">
        <is>
          <t>TINGSRYD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45077</v>
      </c>
      <c r="E500" s="1" t="n">
        <v>46230</v>
      </c>
      <c r="F500" t="inlineStr">
        <is>
          <t>KRONOBERGS LÄN</t>
        </is>
      </c>
      <c r="G500" t="inlineStr">
        <is>
          <t>TINGSRYD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44769</v>
      </c>
      <c r="E501" s="1" t="n">
        <v>46230</v>
      </c>
      <c r="F501" t="inlineStr">
        <is>
          <t>KRONOBERGS LÄN</t>
        </is>
      </c>
      <c r="G501" t="inlineStr">
        <is>
          <t>TINGSRYD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50212-2024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46230</v>
      </c>
      <c r="F502" t="inlineStr">
        <is>
          <t>KRONOBERGS LÄN</t>
        </is>
      </c>
      <c r="G502" t="inlineStr">
        <is>
          <t>TINGSRYD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42752-2021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44428</v>
      </c>
      <c r="E503" s="1" t="n">
        <v>46230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46230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61462-2022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44916</v>
      </c>
      <c r="E505" s="1" t="n">
        <v>46230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61111-2025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46000</v>
      </c>
      <c r="E506" s="1" t="n">
        <v>46230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46230</v>
      </c>
      <c r="F507" t="inlineStr">
        <is>
          <t>KRONOBERGS LÄN</t>
        </is>
      </c>
      <c r="G507" t="inlineStr">
        <is>
          <t>TINGSRYD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46230</v>
      </c>
      <c r="F508" t="inlineStr">
        <is>
          <t>KRONOBERGS LÄN</t>
        </is>
      </c>
      <c r="G508" t="inlineStr">
        <is>
          <t>TINGSRYD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46230</v>
      </c>
      <c r="F509" t="inlineStr">
        <is>
          <t>KRONOBERGS LÄN</t>
        </is>
      </c>
      <c r="G509" t="inlineStr">
        <is>
          <t>TINGSRYD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46230</v>
      </c>
      <c r="F510" t="inlineStr">
        <is>
          <t>KRONOBERGS LÄN</t>
        </is>
      </c>
      <c r="G510" t="inlineStr">
        <is>
          <t>TINGSRYD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20858-2024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45439</v>
      </c>
      <c r="E511" s="1" t="n">
        <v>46230</v>
      </c>
      <c r="F511" t="inlineStr">
        <is>
          <t>KRONOBERGS LÄN</t>
        </is>
      </c>
      <c r="G511" t="inlineStr">
        <is>
          <t>TINGSRYD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54229-2021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44470</v>
      </c>
      <c r="E512" s="1" t="n">
        <v>46230</v>
      </c>
      <c r="F512" t="inlineStr">
        <is>
          <t>KRONOBERGS LÄN</t>
        </is>
      </c>
      <c r="G512" t="inlineStr">
        <is>
          <t>TINGSRYD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44995</v>
      </c>
      <c r="E513" s="1" t="n">
        <v>46230</v>
      </c>
      <c r="F513" t="inlineStr">
        <is>
          <t>KRONOBERGS LÄN</t>
        </is>
      </c>
      <c r="G513" t="inlineStr">
        <is>
          <t>TINGSRYD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46230</v>
      </c>
      <c r="F514" t="inlineStr">
        <is>
          <t>KRONOBERGS LÄN</t>
        </is>
      </c>
      <c r="G514" t="inlineStr">
        <is>
          <t>TINGSRYD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45129</v>
      </c>
      <c r="E515" s="1" t="n">
        <v>46230</v>
      </c>
      <c r="F515" t="inlineStr">
        <is>
          <t>KRONOBERGS LÄN</t>
        </is>
      </c>
      <c r="G515" t="inlineStr">
        <is>
          <t>TINGSRYD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45547</v>
      </c>
      <c r="E516" s="1" t="n">
        <v>46230</v>
      </c>
      <c r="F516" t="inlineStr">
        <is>
          <t>KRONOBERGS LÄN</t>
        </is>
      </c>
      <c r="G516" t="inlineStr">
        <is>
          <t>TINGSRYD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46230</v>
      </c>
      <c r="F517" t="inlineStr">
        <is>
          <t>KRONOBERGS LÄN</t>
        </is>
      </c>
      <c r="G517" t="inlineStr">
        <is>
          <t>TINGSRYD</t>
        </is>
      </c>
      <c r="H517" t="inlineStr">
        <is>
          <t>Kommuner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46230</v>
      </c>
      <c r="F518" t="inlineStr">
        <is>
          <t>KRONOBERGS LÄN</t>
        </is>
      </c>
      <c r="G518" t="inlineStr">
        <is>
          <t>TINGSRYD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32523-2023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46230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46230</v>
      </c>
      <c r="F520" t="inlineStr">
        <is>
          <t>KRONOBERGS LÄN</t>
        </is>
      </c>
      <c r="G520" t="inlineStr">
        <is>
          <t>TINGSRYD</t>
        </is>
      </c>
      <c r="H520" t="inlineStr">
        <is>
          <t>Kommuner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46230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44751-2024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45574</v>
      </c>
      <c r="E522" s="1" t="n">
        <v>46230</v>
      </c>
      <c r="F522" t="inlineStr">
        <is>
          <t>KRONOBERGS LÄN</t>
        </is>
      </c>
      <c r="G522" t="inlineStr">
        <is>
          <t>TINGSRYD</t>
        </is>
      </c>
      <c r="I522" t="n">
        <v>10.6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44930</v>
      </c>
      <c r="E523" s="1" t="n">
        <v>46230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46230</v>
      </c>
      <c r="F524" t="inlineStr">
        <is>
          <t>KRONOBERGS LÄN</t>
        </is>
      </c>
      <c r="G524" t="inlineStr">
        <is>
          <t>TINGSRYD</t>
        </is>
      </c>
      <c r="H524" t="inlineStr">
        <is>
          <t>Övriga Aktiebolag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41835-2025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45902</v>
      </c>
      <c r="E525" s="1" t="n">
        <v>46230</v>
      </c>
      <c r="F525" t="inlineStr">
        <is>
          <t>KRONOBERGS LÄN</t>
        </is>
      </c>
      <c r="G525" t="inlineStr">
        <is>
          <t>TINGSRYD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46230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44930</v>
      </c>
      <c r="E527" s="1" t="n">
        <v>46230</v>
      </c>
      <c r="F527" t="inlineStr">
        <is>
          <t>KRONOBERGS LÄN</t>
        </is>
      </c>
      <c r="G527" t="inlineStr">
        <is>
          <t>TINGSRYD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13322-2023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45005</v>
      </c>
      <c r="E528" s="1" t="n">
        <v>46230</v>
      </c>
      <c r="F528" t="inlineStr">
        <is>
          <t>KRONOBERGS LÄN</t>
        </is>
      </c>
      <c r="G528" t="inlineStr">
        <is>
          <t>TINGSRYD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13340-2023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45005</v>
      </c>
      <c r="E529" s="1" t="n">
        <v>46230</v>
      </c>
      <c r="F529" t="inlineStr">
        <is>
          <t>KRONOBERGS LÄN</t>
        </is>
      </c>
      <c r="G529" t="inlineStr">
        <is>
          <t>TINGSRYD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45726</v>
      </c>
      <c r="E530" s="1" t="n">
        <v>46230</v>
      </c>
      <c r="F530" t="inlineStr">
        <is>
          <t>KRONOBERGS LÄN</t>
        </is>
      </c>
      <c r="G530" t="inlineStr">
        <is>
          <t>TINGSRYD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28771-2026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46230</v>
      </c>
      <c r="F531" t="inlineStr">
        <is>
          <t>KRONOBERGS LÄN</t>
        </is>
      </c>
      <c r="G531" t="inlineStr">
        <is>
          <t>TINGSRYD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45330</v>
      </c>
      <c r="E532" s="1" t="n">
        <v>46230</v>
      </c>
      <c r="F532" t="inlineStr">
        <is>
          <t>KRONOBERGS LÄN</t>
        </is>
      </c>
      <c r="G532" t="inlineStr">
        <is>
          <t>TINGSRYD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73272-2021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44550</v>
      </c>
      <c r="E533" s="1" t="n">
        <v>46230</v>
      </c>
      <c r="F533" t="inlineStr">
        <is>
          <t>KRONOBERGS LÄN</t>
        </is>
      </c>
      <c r="G533" t="inlineStr">
        <is>
          <t>TINGSRYD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46230</v>
      </c>
      <c r="F534" t="inlineStr">
        <is>
          <t>KRONOBERGS LÄN</t>
        </is>
      </c>
      <c r="G534" t="inlineStr">
        <is>
          <t>TINGSRYD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60214-2021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44495</v>
      </c>
      <c r="E535" s="1" t="n">
        <v>46230</v>
      </c>
      <c r="F535" t="inlineStr">
        <is>
          <t>KRONOBERGS LÄN</t>
        </is>
      </c>
      <c r="G535" t="inlineStr">
        <is>
          <t>TINGSRYD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45429</v>
      </c>
      <c r="E536" s="1" t="n">
        <v>46230</v>
      </c>
      <c r="F536" t="inlineStr">
        <is>
          <t>KRONOBERGS LÄN</t>
        </is>
      </c>
      <c r="G536" t="inlineStr">
        <is>
          <t>TINGSRYD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72446-2021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46230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45691</v>
      </c>
      <c r="E538" s="1" t="n">
        <v>46230</v>
      </c>
      <c r="F538" t="inlineStr">
        <is>
          <t>KRONOBERGS LÄN</t>
        </is>
      </c>
      <c r="G538" t="inlineStr">
        <is>
          <t>TINGSRYD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46230</v>
      </c>
      <c r="F539" t="inlineStr">
        <is>
          <t>KRONOBERGS LÄN</t>
        </is>
      </c>
      <c r="G539" t="inlineStr">
        <is>
          <t>TINGSRYD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46230</v>
      </c>
      <c r="F540" t="inlineStr">
        <is>
          <t>KRONOBERGS LÄN</t>
        </is>
      </c>
      <c r="G540" t="inlineStr">
        <is>
          <t>TINGSRYD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46230</v>
      </c>
      <c r="F541" t="inlineStr">
        <is>
          <t>KRONOBERGS LÄN</t>
        </is>
      </c>
      <c r="G541" t="inlineStr">
        <is>
          <t>TINGSRYD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44705</v>
      </c>
      <c r="E542" s="1" t="n">
        <v>46230</v>
      </c>
      <c r="F542" t="inlineStr">
        <is>
          <t>KRONOBERGS LÄN</t>
        </is>
      </c>
      <c r="G542" t="inlineStr">
        <is>
          <t>TINGSRYD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46031</v>
      </c>
      <c r="E543" s="1" t="n">
        <v>46230</v>
      </c>
      <c r="F543" t="inlineStr">
        <is>
          <t>KRONOBERGS LÄN</t>
        </is>
      </c>
      <c r="G543" t="inlineStr">
        <is>
          <t>TINGSRYD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52430-2024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46230</v>
      </c>
      <c r="F544" t="inlineStr">
        <is>
          <t>KRONOBERGS LÄN</t>
        </is>
      </c>
      <c r="G544" t="inlineStr">
        <is>
          <t>TINGSRYD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46230</v>
      </c>
      <c r="F545" t="inlineStr">
        <is>
          <t>KRONOBERGS LÄN</t>
        </is>
      </c>
      <c r="G545" t="inlineStr">
        <is>
          <t>TINGSRYD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46230</v>
      </c>
      <c r="F546" t="inlineStr">
        <is>
          <t>KRONOBERGS LÄN</t>
        </is>
      </c>
      <c r="G546" t="inlineStr">
        <is>
          <t>TINGSRYD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28923-2026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46199</v>
      </c>
      <c r="E547" s="1" t="n">
        <v>46230</v>
      </c>
      <c r="F547" t="inlineStr">
        <is>
          <t>KRONOBERGS LÄN</t>
        </is>
      </c>
      <c r="G547" t="inlineStr">
        <is>
          <t>TINGSRYD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46230</v>
      </c>
      <c r="F548" t="inlineStr">
        <is>
          <t>KRONOBERGS LÄN</t>
        </is>
      </c>
      <c r="G548" t="inlineStr">
        <is>
          <t>TINGSRYD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42522-2022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44831</v>
      </c>
      <c r="E549" s="1" t="n">
        <v>46230</v>
      </c>
      <c r="F549" t="inlineStr">
        <is>
          <t>KRONOBERGS LÄN</t>
        </is>
      </c>
      <c r="G549" t="inlineStr">
        <is>
          <t>TINGSRYD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42526-2022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44831</v>
      </c>
      <c r="E550" s="1" t="n">
        <v>46230</v>
      </c>
      <c r="F550" t="inlineStr">
        <is>
          <t>KRONOBERGS LÄN</t>
        </is>
      </c>
      <c r="G550" t="inlineStr">
        <is>
          <t>TINGSRYD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29377-2026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46203</v>
      </c>
      <c r="E551" s="1" t="n">
        <v>46230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46230</v>
      </c>
      <c r="F552" t="inlineStr">
        <is>
          <t>KRONOBERGS LÄN</t>
        </is>
      </c>
      <c r="G552" t="inlineStr">
        <is>
          <t>TINGSRYD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46230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46230</v>
      </c>
      <c r="F554" t="inlineStr">
        <is>
          <t>KRONOBERGS LÄN</t>
        </is>
      </c>
      <c r="G554" t="inlineStr">
        <is>
          <t>TINGSRYD</t>
        </is>
      </c>
      <c r="H554" t="inlineStr">
        <is>
          <t>Kyrkan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45197</v>
      </c>
      <c r="E555" s="1" t="n">
        <v>46230</v>
      </c>
      <c r="F555" t="inlineStr">
        <is>
          <t>KRONOBERGS LÄN</t>
        </is>
      </c>
      <c r="G555" t="inlineStr">
        <is>
          <t>TINGSRYD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46230</v>
      </c>
      <c r="F556" t="inlineStr">
        <is>
          <t>KRONOBERGS LÄN</t>
        </is>
      </c>
      <c r="G556" t="inlineStr">
        <is>
          <t>TINGSRYD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46230</v>
      </c>
      <c r="F557" t="inlineStr">
        <is>
          <t>KRONOBERGS LÄN</t>
        </is>
      </c>
      <c r="G557" t="inlineStr">
        <is>
          <t>TINGSRYD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46230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44679-2024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46230</v>
      </c>
      <c r="F559" t="inlineStr">
        <is>
          <t>KRONOBERGS LÄN</t>
        </is>
      </c>
      <c r="G559" t="inlineStr">
        <is>
          <t>TINGSRYD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13890-2023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45007</v>
      </c>
      <c r="E560" s="1" t="n">
        <v>46230</v>
      </c>
      <c r="F560" t="inlineStr">
        <is>
          <t>KRONOBERGS LÄN</t>
        </is>
      </c>
      <c r="G560" t="inlineStr">
        <is>
          <t>TINGSRYD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16478-2024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46230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44627</v>
      </c>
      <c r="E562" s="1" t="n">
        <v>46230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46230</v>
      </c>
      <c r="F563" t="inlineStr">
        <is>
          <t>KRONOBERGS LÄN</t>
        </is>
      </c>
      <c r="G563" t="inlineStr">
        <is>
          <t>TINGSRYD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45546</v>
      </c>
      <c r="E564" s="1" t="n">
        <v>46230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45307</v>
      </c>
      <c r="E565" s="1" t="n">
        <v>46230</v>
      </c>
      <c r="F565" t="inlineStr">
        <is>
          <t>KRONOBERGS LÄN</t>
        </is>
      </c>
      <c r="G565" t="inlineStr">
        <is>
          <t>TINGSRYD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46162</v>
      </c>
      <c r="E566" s="1" t="n">
        <v>46230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46230</v>
      </c>
      <c r="F567" t="inlineStr">
        <is>
          <t>KRONOBERGS LÄN</t>
        </is>
      </c>
      <c r="G567" t="inlineStr">
        <is>
          <t>TINGSRYD</t>
        </is>
      </c>
      <c r="H567" t="inlineStr">
        <is>
          <t>Övriga Aktiebolag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46045</v>
      </c>
      <c r="E568" s="1" t="n">
        <v>46230</v>
      </c>
      <c r="F568" t="inlineStr">
        <is>
          <t>KRONOBERGS LÄN</t>
        </is>
      </c>
      <c r="G568" t="inlineStr">
        <is>
          <t>TINGSRYD</t>
        </is>
      </c>
      <c r="H568" t="inlineStr">
        <is>
          <t>Övriga Aktiebolag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46162</v>
      </c>
      <c r="E569" s="1" t="n">
        <v>46230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46230</v>
      </c>
      <c r="F570" t="inlineStr">
        <is>
          <t>KRONOBERGS LÄN</t>
        </is>
      </c>
      <c r="G570" t="inlineStr">
        <is>
          <t>TINGSRYD</t>
        </is>
      </c>
      <c r="H570" t="inlineStr">
        <is>
          <t>Övriga Aktiebolag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27397-2026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46189</v>
      </c>
      <c r="E571" s="1" t="n">
        <v>46230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46230</v>
      </c>
      <c r="F572" t="inlineStr">
        <is>
          <t>KRONOBERGS LÄN</t>
        </is>
      </c>
      <c r="G572" t="inlineStr">
        <is>
          <t>TINGSRYD</t>
        </is>
      </c>
      <c r="H572" t="inlineStr">
        <is>
          <t>Övriga Aktiebolag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46045</v>
      </c>
      <c r="E573" s="1" t="n">
        <v>46230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37393-2024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45540</v>
      </c>
      <c r="E574" s="1" t="n">
        <v>46230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37424-2024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45540</v>
      </c>
      <c r="E575" s="1" t="n">
        <v>46230</v>
      </c>
      <c r="F575" t="inlineStr">
        <is>
          <t>KRONOBERGS LÄN</t>
        </is>
      </c>
      <c r="G575" t="inlineStr">
        <is>
          <t>TINGSRYD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52077-2021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44463</v>
      </c>
      <c r="E576" s="1" t="n">
        <v>46230</v>
      </c>
      <c r="F576" t="inlineStr">
        <is>
          <t>KRONOBERGS LÄN</t>
        </is>
      </c>
      <c r="G576" t="inlineStr">
        <is>
          <t>TINGSRYD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45300</v>
      </c>
      <c r="E577" s="1" t="n">
        <v>46230</v>
      </c>
      <c r="F577" t="inlineStr">
        <is>
          <t>KRONOBERGS LÄN</t>
        </is>
      </c>
      <c r="G577" t="inlineStr">
        <is>
          <t>TINGSRYD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46230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46230</v>
      </c>
      <c r="F579" t="inlineStr">
        <is>
          <t>KRONOBERGS LÄN</t>
        </is>
      </c>
      <c r="G579" t="inlineStr">
        <is>
          <t>TINGSRYD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46230</v>
      </c>
      <c r="F580" t="inlineStr">
        <is>
          <t>KRONOBERGS LÄN</t>
        </is>
      </c>
      <c r="G580" t="inlineStr">
        <is>
          <t>TINGSRYD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44939</v>
      </c>
      <c r="E581" s="1" t="n">
        <v>46230</v>
      </c>
      <c r="F581" t="inlineStr">
        <is>
          <t>KRONOBERGS LÄN</t>
        </is>
      </c>
      <c r="G581" t="inlineStr">
        <is>
          <t>TINGSRYD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57111-2022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44895</v>
      </c>
      <c r="E582" s="1" t="n">
        <v>46230</v>
      </c>
      <c r="F582" t="inlineStr">
        <is>
          <t>KRONOBERGS LÄN</t>
        </is>
      </c>
      <c r="G582" t="inlineStr">
        <is>
          <t>TINGSRYD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61461-2022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44916</v>
      </c>
      <c r="E583" s="1" t="n">
        <v>46230</v>
      </c>
      <c r="F583" t="inlineStr">
        <is>
          <t>KRONOBERGS LÄN</t>
        </is>
      </c>
      <c r="G583" t="inlineStr">
        <is>
          <t>TINGSRYD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14559-2022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44655</v>
      </c>
      <c r="E584" s="1" t="n">
        <v>46230</v>
      </c>
      <c r="F584" t="inlineStr">
        <is>
          <t>KRONOBERGS LÄN</t>
        </is>
      </c>
      <c r="G584" t="inlineStr">
        <is>
          <t>TINGSRYD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46230</v>
      </c>
      <c r="F585" t="inlineStr">
        <is>
          <t>KRONOBERGS LÄN</t>
        </is>
      </c>
      <c r="G585" t="inlineStr">
        <is>
          <t>TINGSRYD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44936</v>
      </c>
      <c r="E586" s="1" t="n">
        <v>46230</v>
      </c>
      <c r="F586" t="inlineStr">
        <is>
          <t>KRONOBERGS LÄN</t>
        </is>
      </c>
      <c r="G586" t="inlineStr">
        <is>
          <t>TINGSRYD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44936</v>
      </c>
      <c r="E587" s="1" t="n">
        <v>46230</v>
      </c>
      <c r="F587" t="inlineStr">
        <is>
          <t>KRONOBERGS LÄN</t>
        </is>
      </c>
      <c r="G587" t="inlineStr">
        <is>
          <t>TINGSRYD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45160</v>
      </c>
      <c r="E588" s="1" t="n">
        <v>46230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45426</v>
      </c>
      <c r="E589" s="1" t="n">
        <v>46230</v>
      </c>
      <c r="F589" t="inlineStr">
        <is>
          <t>KRONOBERGS LÄN</t>
        </is>
      </c>
      <c r="G589" t="inlineStr">
        <is>
          <t>TINGSRYD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15412-2024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46230</v>
      </c>
      <c r="F590" t="inlineStr">
        <is>
          <t>KRONOBERGS LÄN</t>
        </is>
      </c>
      <c r="G590" t="inlineStr">
        <is>
          <t>TINGSRYD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28507-2022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44748</v>
      </c>
      <c r="E591" s="1" t="n">
        <v>46230</v>
      </c>
      <c r="F591" t="inlineStr">
        <is>
          <t>KRONOBERGS LÄN</t>
        </is>
      </c>
      <c r="G591" t="inlineStr">
        <is>
          <t>TINGSRYD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46230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45139</v>
      </c>
      <c r="E593" s="1" t="n">
        <v>46230</v>
      </c>
      <c r="F593" t="inlineStr">
        <is>
          <t>KRONOBERGS LÄN</t>
        </is>
      </c>
      <c r="G593" t="inlineStr">
        <is>
          <t>TINGSRYD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46230</v>
      </c>
      <c r="F594" t="inlineStr">
        <is>
          <t>KRONOBERGS LÄN</t>
        </is>
      </c>
      <c r="G594" t="inlineStr">
        <is>
          <t>TINGSRYD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44820</v>
      </c>
      <c r="E595" s="1" t="n">
        <v>46230</v>
      </c>
      <c r="F595" t="inlineStr">
        <is>
          <t>KRONOBERGS LÄN</t>
        </is>
      </c>
      <c r="G595" t="inlineStr">
        <is>
          <t>TINGSRYD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45078</v>
      </c>
      <c r="E596" s="1" t="n">
        <v>46230</v>
      </c>
      <c r="F596" t="inlineStr">
        <is>
          <t>KRONOBERGS LÄN</t>
        </is>
      </c>
      <c r="G596" t="inlineStr">
        <is>
          <t>TINGSRYD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45078</v>
      </c>
      <c r="E597" s="1" t="n">
        <v>46230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23932-2026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46230</v>
      </c>
      <c r="F598" t="inlineStr">
        <is>
          <t>KRONOBERGS LÄN</t>
        </is>
      </c>
      <c r="G598" t="inlineStr">
        <is>
          <t>TINGSRYD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29584-2023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46230</v>
      </c>
      <c r="F599" t="inlineStr">
        <is>
          <t>KRONOBERGS LÄN</t>
        </is>
      </c>
      <c r="G599" t="inlineStr">
        <is>
          <t>TINGSRYD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49940-2023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45215</v>
      </c>
      <c r="E600" s="1" t="n">
        <v>46230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46230</v>
      </c>
      <c r="F601" t="inlineStr">
        <is>
          <t>KRONOBERGS LÄN</t>
        </is>
      </c>
      <c r="G601" t="inlineStr">
        <is>
          <t>TINGSRYD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  <c r="Z601">
        <f>HYPERLINK("https://klasma.github.io/Logging_0763/knärot/A 30016-2026 karta knärot.png", "A 30016-2026")</f>
        <v/>
      </c>
      <c r="AA601">
        <f>HYPERLINK("https://klasma.github.io/Logging_0763/klagomål/A 30016-2026 FSC-klagomål.docx", "A 30016-2026")</f>
        <v/>
      </c>
      <c r="AB601">
        <f>HYPERLINK("https://klasma.github.io/Logging_0763/klagomålsmail/A 30016-2026 FSC-klagomål mail.docx", "A 30016-2026")</f>
        <v/>
      </c>
      <c r="AC601">
        <f>HYPERLINK("https://klasma.github.io/Logging_0763/tillsyn/A 30016-2026 tillsynsbegäran.docx", "A 30016-2026")</f>
        <v/>
      </c>
      <c r="AD601">
        <f>HYPERLINK("https://klasma.github.io/Logging_0763/tillsynsmail/A 30016-2026 tillsynsbegäran mail.docx", "A 30016-2026")</f>
        <v/>
      </c>
    </row>
    <row r="602" ht="15" customHeight="1">
      <c r="A602" t="inlineStr">
        <is>
          <t>A 30012-2023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45109</v>
      </c>
      <c r="E602" s="1" t="n">
        <v>46230</v>
      </c>
      <c r="F602" t="inlineStr">
        <is>
          <t>KRONOBERGS LÄN</t>
        </is>
      </c>
      <c r="G602" t="inlineStr">
        <is>
          <t>TINGSRYD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44673</v>
      </c>
      <c r="E603" s="1" t="n">
        <v>46230</v>
      </c>
      <c r="F603" t="inlineStr">
        <is>
          <t>KRONOBERGS LÄN</t>
        </is>
      </c>
      <c r="G603" t="inlineStr">
        <is>
          <t>TINGSRYD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46230</v>
      </c>
      <c r="F604" t="inlineStr">
        <is>
          <t>KRONOBERGS LÄN</t>
        </is>
      </c>
      <c r="G604" t="inlineStr">
        <is>
          <t>TINGSRYD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8039-2026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46230</v>
      </c>
      <c r="F605" t="inlineStr">
        <is>
          <t>KRONOBERGS LÄN</t>
        </is>
      </c>
      <c r="G605" t="inlineStr">
        <is>
          <t>TINGSRYD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46230</v>
      </c>
      <c r="F606" t="inlineStr">
        <is>
          <t>KRONOBERGS LÄN</t>
        </is>
      </c>
      <c r="G606" t="inlineStr">
        <is>
          <t>TINGSRYD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46230</v>
      </c>
      <c r="F607" t="inlineStr">
        <is>
          <t>KRONOBERGS LÄN</t>
        </is>
      </c>
      <c r="G607" t="inlineStr">
        <is>
          <t>TINGSRYD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24786-2022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46230</v>
      </c>
      <c r="F608" t="inlineStr">
        <is>
          <t>KRONOBERGS LÄN</t>
        </is>
      </c>
      <c r="G608" t="inlineStr">
        <is>
          <t>TINGSRYD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45007</v>
      </c>
      <c r="E609" s="1" t="n">
        <v>46230</v>
      </c>
      <c r="F609" t="inlineStr">
        <is>
          <t>KRONOBERGS LÄN</t>
        </is>
      </c>
      <c r="G609" t="inlineStr">
        <is>
          <t>TINGSRYD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46230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23948-2026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46167</v>
      </c>
      <c r="E611" s="1" t="n">
        <v>46230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46230</v>
      </c>
      <c r="F612" t="inlineStr">
        <is>
          <t>KRONOBERGS LÄN</t>
        </is>
      </c>
      <c r="G612" t="inlineStr">
        <is>
          <t>TINGSRYD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59604-2022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44907</v>
      </c>
      <c r="E613" s="1" t="n">
        <v>46230</v>
      </c>
      <c r="F613" t="inlineStr">
        <is>
          <t>KRONOBERGS LÄN</t>
        </is>
      </c>
      <c r="G613" t="inlineStr">
        <is>
          <t>TINGSRYD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46230</v>
      </c>
      <c r="F614" t="inlineStr">
        <is>
          <t>KRONOBERGS LÄN</t>
        </is>
      </c>
      <c r="G614" t="inlineStr">
        <is>
          <t>TINGSRYD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46230</v>
      </c>
      <c r="F615" t="inlineStr">
        <is>
          <t>KRONOBERGS LÄN</t>
        </is>
      </c>
      <c r="G615" t="inlineStr">
        <is>
          <t>TINGSRYD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46230</v>
      </c>
      <c r="F616" t="inlineStr">
        <is>
          <t>KRONOBERGS LÄN</t>
        </is>
      </c>
      <c r="G616" t="inlineStr">
        <is>
          <t>TINGSRYD</t>
        </is>
      </c>
      <c r="H616" t="inlineStr">
        <is>
          <t>Kyrkan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45063</v>
      </c>
      <c r="E617" s="1" t="n">
        <v>46230</v>
      </c>
      <c r="F617" t="inlineStr">
        <is>
          <t>KRONOBERGS LÄN</t>
        </is>
      </c>
      <c r="G617" t="inlineStr">
        <is>
          <t>TINGSRYD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10668-2026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46078</v>
      </c>
      <c r="E618" s="1" t="n">
        <v>46230</v>
      </c>
      <c r="F618" t="inlineStr">
        <is>
          <t>KRONOBERGS LÄN</t>
        </is>
      </c>
      <c r="G618" t="inlineStr">
        <is>
          <t>TINGSRYD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46230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46230</v>
      </c>
      <c r="F620" t="inlineStr">
        <is>
          <t>KRONOBERGS LÄN</t>
        </is>
      </c>
      <c r="G620" t="inlineStr">
        <is>
          <t>TINGSRYD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46230</v>
      </c>
      <c r="F621" t="inlineStr">
        <is>
          <t>KRONOBERGS LÄN</t>
        </is>
      </c>
      <c r="G621" t="inlineStr">
        <is>
          <t>TINGSRYD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60783-2024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46230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27905-2026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46191</v>
      </c>
      <c r="E623" s="1" t="n">
        <v>46230</v>
      </c>
      <c r="F623" t="inlineStr">
        <is>
          <t>KRONOBERGS LÄN</t>
        </is>
      </c>
      <c r="G623" t="inlineStr">
        <is>
          <t>TINGSRYD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45302</v>
      </c>
      <c r="E624" s="1" t="n">
        <v>46230</v>
      </c>
      <c r="F624" t="inlineStr">
        <is>
          <t>KRONOBERGS LÄN</t>
        </is>
      </c>
      <c r="G624" t="inlineStr">
        <is>
          <t>TINGSRYD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40173-2022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44820</v>
      </c>
      <c r="E625" s="1" t="n">
        <v>46230</v>
      </c>
      <c r="F625" t="inlineStr">
        <is>
          <t>KRONOBERGS LÄN</t>
        </is>
      </c>
      <c r="G625" t="inlineStr">
        <is>
          <t>TINGSRYD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49979-2023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45215</v>
      </c>
      <c r="E626" s="1" t="n">
        <v>46230</v>
      </c>
      <c r="F626" t="inlineStr">
        <is>
          <t>KRONOBERGS LÄN</t>
        </is>
      </c>
      <c r="G626" t="inlineStr">
        <is>
          <t>TINGSRYD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45245</v>
      </c>
      <c r="E627" s="1" t="n">
        <v>46230</v>
      </c>
      <c r="F627" t="inlineStr">
        <is>
          <t>KRONOBERGS LÄN</t>
        </is>
      </c>
      <c r="G627" t="inlineStr">
        <is>
          <t>TINGSRYD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11513-2026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46083</v>
      </c>
      <c r="E628" s="1" t="n">
        <v>46230</v>
      </c>
      <c r="F628" t="inlineStr">
        <is>
          <t>KRONOBERGS LÄN</t>
        </is>
      </c>
      <c r="G628" t="inlineStr">
        <is>
          <t>TINGSRYD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46083</v>
      </c>
      <c r="E629" s="1" t="n">
        <v>46230</v>
      </c>
      <c r="F629" t="inlineStr">
        <is>
          <t>KRONOBERGS LÄN</t>
        </is>
      </c>
      <c r="G629" t="inlineStr">
        <is>
          <t>TINGSRYD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11451-2026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46083</v>
      </c>
      <c r="E630" s="1" t="n">
        <v>46230</v>
      </c>
      <c r="F630" t="inlineStr">
        <is>
          <t>KRONOBERGS LÄN</t>
        </is>
      </c>
      <c r="G630" t="inlineStr">
        <is>
          <t>TINGSRYD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46230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46230</v>
      </c>
      <c r="F632" t="inlineStr">
        <is>
          <t>KRONOBERGS LÄN</t>
        </is>
      </c>
      <c r="G632" t="inlineStr">
        <is>
          <t>TINGSRYD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11445-2026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46083</v>
      </c>
      <c r="E633" s="1" t="n">
        <v>46230</v>
      </c>
      <c r="F633" t="inlineStr">
        <is>
          <t>KRONOBERGS LÄN</t>
        </is>
      </c>
      <c r="G633" t="inlineStr">
        <is>
          <t>TINGSRYD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46086</v>
      </c>
      <c r="E634" s="1" t="n">
        <v>46230</v>
      </c>
      <c r="F634" t="inlineStr">
        <is>
          <t>KRONOBERGS LÄN</t>
        </is>
      </c>
      <c r="G634" t="inlineStr">
        <is>
          <t>TINGSRYD</t>
        </is>
      </c>
      <c r="H634" t="inlineStr">
        <is>
          <t>Övriga Aktiebolag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45155</v>
      </c>
      <c r="E635" s="1" t="n">
        <v>46230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46230</v>
      </c>
      <c r="F636" t="inlineStr">
        <is>
          <t>KRONOBERGS LÄN</t>
        </is>
      </c>
      <c r="G636" t="inlineStr">
        <is>
          <t>TINGSRYD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46230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17844-2024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45418</v>
      </c>
      <c r="E638" s="1" t="n">
        <v>46230</v>
      </c>
      <c r="F638" t="inlineStr">
        <is>
          <t>KRONOBERGS LÄN</t>
        </is>
      </c>
      <c r="G638" t="inlineStr">
        <is>
          <t>TINGSRYD</t>
        </is>
      </c>
      <c r="H638" t="inlineStr">
        <is>
          <t>Kyrkan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25010-2023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45085</v>
      </c>
      <c r="E639" s="1" t="n">
        <v>46230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46230</v>
      </c>
      <c r="F640" t="inlineStr">
        <is>
          <t>KRONOBERGS LÄN</t>
        </is>
      </c>
      <c r="G640" t="inlineStr">
        <is>
          <t>TINGSRYD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12388-2026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46230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31000-2026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46230</v>
      </c>
      <c r="F642" t="inlineStr">
        <is>
          <t>KRONOBERGS LÄN</t>
        </is>
      </c>
      <c r="G642" t="inlineStr">
        <is>
          <t>TINGSRYD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45034</v>
      </c>
      <c r="E643" s="1" t="n">
        <v>46230</v>
      </c>
      <c r="F643" t="inlineStr">
        <is>
          <t>KRONOBERGS LÄN</t>
        </is>
      </c>
      <c r="G643" t="inlineStr">
        <is>
          <t>TINGSRYD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31017-2026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46213</v>
      </c>
      <c r="E644" s="1" t="n">
        <v>46230</v>
      </c>
      <c r="F644" t="inlineStr">
        <is>
          <t>KRONOBERGS LÄN</t>
        </is>
      </c>
      <c r="G644" t="inlineStr">
        <is>
          <t>TINGSRYD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45394</v>
      </c>
      <c r="E645" s="1" t="n">
        <v>46230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46213</v>
      </c>
      <c r="E646" s="1" t="n">
        <v>46230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46992-2021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44446</v>
      </c>
      <c r="E647" s="1" t="n">
        <v>46230</v>
      </c>
      <c r="F647" t="inlineStr">
        <is>
          <t>KRONOBERGS LÄN</t>
        </is>
      </c>
      <c r="G647" t="inlineStr">
        <is>
          <t>TINGSRYD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10613-2022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44624</v>
      </c>
      <c r="E648" s="1" t="n">
        <v>46230</v>
      </c>
      <c r="F648" t="inlineStr">
        <is>
          <t>KRONOBERGS LÄN</t>
        </is>
      </c>
      <c r="G648" t="inlineStr">
        <is>
          <t>TINGSRYD</t>
        </is>
      </c>
      <c r="I648" t="n">
        <v>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44928</v>
      </c>
      <c r="E649" s="1" t="n">
        <v>46230</v>
      </c>
      <c r="F649" t="inlineStr">
        <is>
          <t>KRONOBERGS LÄN</t>
        </is>
      </c>
      <c r="G649" t="inlineStr">
        <is>
          <t>TINGSRYD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62209-2023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45267</v>
      </c>
      <c r="E650" s="1" t="n">
        <v>46230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46171</v>
      </c>
      <c r="E651" s="1" t="n">
        <v>46230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61444-2023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45264</v>
      </c>
      <c r="E652" s="1" t="n">
        <v>46230</v>
      </c>
      <c r="F652" t="inlineStr">
        <is>
          <t>KRONOBERGS LÄN</t>
        </is>
      </c>
      <c r="G652" t="inlineStr">
        <is>
          <t>TINGSRYD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45314</v>
      </c>
      <c r="E653" s="1" t="n">
        <v>46230</v>
      </c>
      <c r="F653" t="inlineStr">
        <is>
          <t>KRONOBERGS LÄN</t>
        </is>
      </c>
      <c r="G653" t="inlineStr">
        <is>
          <t>TINGSRYD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44875</v>
      </c>
      <c r="E654" s="1" t="n">
        <v>46230</v>
      </c>
      <c r="F654" t="inlineStr">
        <is>
          <t>KRONOBERGS LÄN</t>
        </is>
      </c>
      <c r="G654" t="inlineStr">
        <is>
          <t>TINGSRYD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46230</v>
      </c>
      <c r="F655" t="inlineStr">
        <is>
          <t>KRONOBERGS LÄN</t>
        </is>
      </c>
      <c r="G655" t="inlineStr">
        <is>
          <t>TINGSRYD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63078-2021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44505</v>
      </c>
      <c r="E656" s="1" t="n">
        <v>46230</v>
      </c>
      <c r="F656" t="inlineStr">
        <is>
          <t>KRONOBERGS LÄN</t>
        </is>
      </c>
      <c r="G656" t="inlineStr">
        <is>
          <t>TINGSRYD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14375-2026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46230</v>
      </c>
      <c r="F657" t="inlineStr">
        <is>
          <t>KRONOBERGS LÄN</t>
        </is>
      </c>
      <c r="G657" t="inlineStr">
        <is>
          <t>TINGSRYD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53278-2024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45614</v>
      </c>
      <c r="E658" s="1" t="n">
        <v>46230</v>
      </c>
      <c r="F658" t="inlineStr">
        <is>
          <t>KRONOBERGS LÄN</t>
        </is>
      </c>
      <c r="G658" t="inlineStr">
        <is>
          <t>TINGSRYD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9866-2022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44620</v>
      </c>
      <c r="E659" s="1" t="n">
        <v>46230</v>
      </c>
      <c r="F659" t="inlineStr">
        <is>
          <t>KRONOBERGS LÄN</t>
        </is>
      </c>
      <c r="G659" t="inlineStr">
        <is>
          <t>TINGSRYD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45261</v>
      </c>
      <c r="E660" s="1" t="n">
        <v>46230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57379-2024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45629</v>
      </c>
      <c r="E661" s="1" t="n">
        <v>46230</v>
      </c>
      <c r="F661" t="inlineStr">
        <is>
          <t>KRONOBERGS LÄN</t>
        </is>
      </c>
      <c r="G661" t="inlineStr">
        <is>
          <t>TINGSRYD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46104</v>
      </c>
      <c r="E662" s="1" t="n">
        <v>46230</v>
      </c>
      <c r="F662" t="inlineStr">
        <is>
          <t>KRONOBERGS LÄN</t>
        </is>
      </c>
      <c r="G662" t="inlineStr">
        <is>
          <t>TINGSRYD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46230</v>
      </c>
      <c r="F663" t="inlineStr">
        <is>
          <t>KRONOBERGS LÄN</t>
        </is>
      </c>
      <c r="G663" t="inlineStr">
        <is>
          <t>TINGSRYD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12663-2024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45384</v>
      </c>
      <c r="E664" s="1" t="n">
        <v>46230</v>
      </c>
      <c r="F664" t="inlineStr">
        <is>
          <t>KRONOBERGS LÄN</t>
        </is>
      </c>
      <c r="G664" t="inlineStr">
        <is>
          <t>TINGSRYD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45436</v>
      </c>
      <c r="E665" s="1" t="n">
        <v>46230</v>
      </c>
      <c r="F665" t="inlineStr">
        <is>
          <t>KRONOBERGS LÄN</t>
        </is>
      </c>
      <c r="G665" t="inlineStr">
        <is>
          <t>TINGSRYD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46230</v>
      </c>
      <c r="F666" t="inlineStr">
        <is>
          <t>KRONOBERGS LÄN</t>
        </is>
      </c>
      <c r="G666" t="inlineStr">
        <is>
          <t>TINGSRYD</t>
        </is>
      </c>
      <c r="H666" t="inlineStr">
        <is>
          <t>Övriga Aktiebolag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46230</v>
      </c>
      <c r="F667" t="inlineStr">
        <is>
          <t>KRONOBERGS LÄN</t>
        </is>
      </c>
      <c r="G667" t="inlineStr">
        <is>
          <t>TINGSRYD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45394</v>
      </c>
      <c r="E668" s="1" t="n">
        <v>46230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46230</v>
      </c>
      <c r="F669" t="inlineStr">
        <is>
          <t>KRONOBERGS LÄN</t>
        </is>
      </c>
      <c r="G669" t="inlineStr">
        <is>
          <t>TINGSRYD</t>
        </is>
      </c>
      <c r="H669" t="inlineStr">
        <is>
          <t>Övriga Aktiebolag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46230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60499-2022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44911</v>
      </c>
      <c r="E671" s="1" t="n">
        <v>46230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45113</v>
      </c>
      <c r="E672" s="1" t="n">
        <v>46230</v>
      </c>
      <c r="F672" t="inlineStr">
        <is>
          <t>KRONOBERGS LÄN</t>
        </is>
      </c>
      <c r="G672" t="inlineStr">
        <is>
          <t>TINGSRYD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46212</v>
      </c>
      <c r="E673" s="1" t="n">
        <v>46230</v>
      </c>
      <c r="F673" t="inlineStr">
        <is>
          <t>KRONOBERGS LÄN</t>
        </is>
      </c>
      <c r="G673" t="inlineStr">
        <is>
          <t>TINGSRYD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28176-2023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45099</v>
      </c>
      <c r="E674" s="1" t="n">
        <v>46230</v>
      </c>
      <c r="F674" t="inlineStr">
        <is>
          <t>KRONOBERGS LÄN</t>
        </is>
      </c>
      <c r="G674" t="inlineStr">
        <is>
          <t>TINGSRYD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46230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37184-2023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45155</v>
      </c>
      <c r="E676" s="1" t="n">
        <v>46230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15998-2026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46230</v>
      </c>
      <c r="F677" t="inlineStr">
        <is>
          <t>KRONOBERGS LÄN</t>
        </is>
      </c>
      <c r="G677" t="inlineStr">
        <is>
          <t>TINGSRYD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46230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25152-2026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46175</v>
      </c>
      <c r="E679" s="1" t="n">
        <v>46230</v>
      </c>
      <c r="F679" t="inlineStr">
        <is>
          <t>KRONOBERGS LÄN</t>
        </is>
      </c>
      <c r="G679" t="inlineStr">
        <is>
          <t>TINGSRYD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42414-2021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44427</v>
      </c>
      <c r="E680" s="1" t="n">
        <v>46230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38759-2024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45547</v>
      </c>
      <c r="E681" s="1" t="n">
        <v>46230</v>
      </c>
      <c r="F681" t="inlineStr">
        <is>
          <t>KRONOBERGS LÄN</t>
        </is>
      </c>
      <c r="G681" t="inlineStr">
        <is>
          <t>TINGSRYD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46230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46176</v>
      </c>
      <c r="E683" s="1" t="n">
        <v>46230</v>
      </c>
      <c r="F683" t="inlineStr">
        <is>
          <t>KRONOBERGS LÄN</t>
        </is>
      </c>
      <c r="G683" t="inlineStr">
        <is>
          <t>TINGSRYD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45666-2024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45579</v>
      </c>
      <c r="E684" s="1" t="n">
        <v>46230</v>
      </c>
      <c r="F684" t="inlineStr">
        <is>
          <t>KRONOBERGS LÄN</t>
        </is>
      </c>
      <c r="G684" t="inlineStr">
        <is>
          <t>TINGSRYD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43462-2024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45568</v>
      </c>
      <c r="E685" s="1" t="n">
        <v>46230</v>
      </c>
      <c r="F685" t="inlineStr">
        <is>
          <t>KRONOBERGS LÄN</t>
        </is>
      </c>
      <c r="G685" t="inlineStr">
        <is>
          <t>TINGSRYD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20058-2025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45772</v>
      </c>
      <c r="E686" s="1" t="n">
        <v>46230</v>
      </c>
      <c r="F686" t="inlineStr">
        <is>
          <t>KRONOBERGS LÄN</t>
        </is>
      </c>
      <c r="G686" t="inlineStr">
        <is>
          <t>TINGSRYD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44838</v>
      </c>
      <c r="E687" s="1" t="n">
        <v>46230</v>
      </c>
      <c r="F687" t="inlineStr">
        <is>
          <t>KRONOBERGS LÄN</t>
        </is>
      </c>
      <c r="G687" t="inlineStr">
        <is>
          <t>TINGSRYD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46113</v>
      </c>
      <c r="E688" s="1" t="n">
        <v>46230</v>
      </c>
      <c r="F688" t="inlineStr">
        <is>
          <t>KRONOBERGS LÄN</t>
        </is>
      </c>
      <c r="G688" t="inlineStr">
        <is>
          <t>TINGSRYD</t>
        </is>
      </c>
      <c r="I688" t="n">
        <v>6.8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45674</v>
      </c>
      <c r="E689" s="1" t="n">
        <v>46230</v>
      </c>
      <c r="F689" t="inlineStr">
        <is>
          <t>KRONOBERGS LÄN</t>
        </is>
      </c>
      <c r="G689" t="inlineStr">
        <is>
          <t>TINGSRYD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59082-2024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45637</v>
      </c>
      <c r="E690" s="1" t="n">
        <v>46230</v>
      </c>
      <c r="F690" t="inlineStr">
        <is>
          <t>KRONOBERGS LÄN</t>
        </is>
      </c>
      <c r="G690" t="inlineStr">
        <is>
          <t>TINGSRYD</t>
        </is>
      </c>
      <c r="H690" t="inlineStr">
        <is>
          <t>Övriga Aktiebolag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59092-2024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46230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46230</v>
      </c>
      <c r="F692" t="inlineStr">
        <is>
          <t>KRONOBERGS LÄN</t>
        </is>
      </c>
      <c r="G692" t="inlineStr">
        <is>
          <t>TINGSRYD</t>
        </is>
      </c>
      <c r="H692" t="inlineStr">
        <is>
          <t>Kyrkan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20662-2022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44700</v>
      </c>
      <c r="E693" s="1" t="n">
        <v>46230</v>
      </c>
      <c r="F693" t="inlineStr">
        <is>
          <t>KRONOBERGS LÄN</t>
        </is>
      </c>
      <c r="G693" t="inlineStr">
        <is>
          <t>TINGSRYD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46230</v>
      </c>
      <c r="F694" t="inlineStr">
        <is>
          <t>KRONOBERGS LÄN</t>
        </is>
      </c>
      <c r="G694" t="inlineStr">
        <is>
          <t>TINGSRYD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17546-2026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46230</v>
      </c>
      <c r="F695" t="inlineStr">
        <is>
          <t>KRONOBERGS LÄN</t>
        </is>
      </c>
      <c r="G695" t="inlineStr">
        <is>
          <t>TINGSRYD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46230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18379-2024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45424</v>
      </c>
      <c r="E697" s="1" t="n">
        <v>46230</v>
      </c>
      <c r="F697" t="inlineStr">
        <is>
          <t>KRONOBERGS LÄN</t>
        </is>
      </c>
      <c r="G697" t="inlineStr">
        <is>
          <t>TINGSRYD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31135-2026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46209</v>
      </c>
      <c r="E698" s="1" t="n">
        <v>46230</v>
      </c>
      <c r="F698" t="inlineStr">
        <is>
          <t>KRONOBERGS LÄN</t>
        </is>
      </c>
      <c r="G698" t="inlineStr">
        <is>
          <t>TINGSRYD</t>
        </is>
      </c>
      <c r="H698" t="inlineStr">
        <is>
          <t>Naturvårdsverket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55982-2023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46230</v>
      </c>
      <c r="F699" t="inlineStr">
        <is>
          <t>KRONOBERGS LÄN</t>
        </is>
      </c>
      <c r="G699" t="inlineStr">
        <is>
          <t>TINGSRYD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67565-2021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44524</v>
      </c>
      <c r="E700" s="1" t="n">
        <v>46230</v>
      </c>
      <c r="F700" t="inlineStr">
        <is>
          <t>KRONOBERGS LÄN</t>
        </is>
      </c>
      <c r="G700" t="inlineStr">
        <is>
          <t>TINGSRYD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52945-2023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45226</v>
      </c>
      <c r="E701" s="1" t="n">
        <v>46230</v>
      </c>
      <c r="F701" t="inlineStr">
        <is>
          <t>KRONOBERGS LÄN</t>
        </is>
      </c>
      <c r="G701" t="inlineStr">
        <is>
          <t>TINGSRYD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2806-2024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45314</v>
      </c>
      <c r="E702" s="1" t="n">
        <v>46230</v>
      </c>
      <c r="F702" t="inlineStr">
        <is>
          <t>KRONOBERGS LÄN</t>
        </is>
      </c>
      <c r="G702" t="inlineStr">
        <is>
          <t>TINGSRYD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25471-2026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46230</v>
      </c>
      <c r="F703" t="inlineStr">
        <is>
          <t>KRONOBERGS LÄN</t>
        </is>
      </c>
      <c r="G703" t="inlineStr">
        <is>
          <t>TINGSRYD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14247-2023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45009</v>
      </c>
      <c r="E704" s="1" t="n">
        <v>46230</v>
      </c>
      <c r="F704" t="inlineStr">
        <is>
          <t>KRONOBERGS LÄN</t>
        </is>
      </c>
      <c r="G704" t="inlineStr">
        <is>
          <t>TINGSRYD</t>
        </is>
      </c>
      <c r="H704" t="inlineStr">
        <is>
          <t>Sveaskog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37359-2024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45540</v>
      </c>
      <c r="E705" s="1" t="n">
        <v>46230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17479-2026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46120</v>
      </c>
      <c r="E706" s="1" t="n">
        <v>46230</v>
      </c>
      <c r="F706" t="inlineStr">
        <is>
          <t>KRONOBERGS LÄN</t>
        </is>
      </c>
      <c r="G706" t="inlineStr">
        <is>
          <t>TINGSRYD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17483-2026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46120</v>
      </c>
      <c r="E707" s="1" t="n">
        <v>46230</v>
      </c>
      <c r="F707" t="inlineStr">
        <is>
          <t>KRONOBERGS LÄN</t>
        </is>
      </c>
      <c r="G707" t="inlineStr">
        <is>
          <t>TINGSRYD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46230</v>
      </c>
      <c r="F708" t="inlineStr">
        <is>
          <t>KRONOBERGS LÄN</t>
        </is>
      </c>
      <c r="G708" t="inlineStr">
        <is>
          <t>TINGSRYD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46230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15252-2026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46105</v>
      </c>
      <c r="E710" s="1" t="n">
        <v>46230</v>
      </c>
      <c r="F710" t="inlineStr">
        <is>
          <t>KRONOBERGS LÄN</t>
        </is>
      </c>
      <c r="G710" t="inlineStr">
        <is>
          <t>TINGSRYD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54963-2023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45236</v>
      </c>
      <c r="E711" s="1" t="n">
        <v>46230</v>
      </c>
      <c r="F711" t="inlineStr">
        <is>
          <t>KRONOBERGS LÄN</t>
        </is>
      </c>
      <c r="G711" t="inlineStr">
        <is>
          <t>TINGSRYD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46230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53256-2024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45614</v>
      </c>
      <c r="E713" s="1" t="n">
        <v>46230</v>
      </c>
      <c r="F713" t="inlineStr">
        <is>
          <t>KRONOBERGS LÄN</t>
        </is>
      </c>
      <c r="G713" t="inlineStr">
        <is>
          <t>TINGSRYD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46230</v>
      </c>
      <c r="F714" t="inlineStr">
        <is>
          <t>KRONOBERGS LÄN</t>
        </is>
      </c>
      <c r="G714" t="inlineStr">
        <is>
          <t>TINGSRYD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26252-2026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46182</v>
      </c>
      <c r="E715" s="1" t="n">
        <v>46230</v>
      </c>
      <c r="F715" t="inlineStr">
        <is>
          <t>KRONOBERGS LÄN</t>
        </is>
      </c>
      <c r="G715" t="inlineStr">
        <is>
          <t>TINGSRYD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19052-2026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46132</v>
      </c>
      <c r="E716" s="1" t="n">
        <v>46230</v>
      </c>
      <c r="F716" t="inlineStr">
        <is>
          <t>KRONOBERGS LÄN</t>
        </is>
      </c>
      <c r="G716" t="inlineStr">
        <is>
          <t>TINGSRYD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46230</v>
      </c>
      <c r="F717" t="inlineStr">
        <is>
          <t>KRONOBERGS LÄN</t>
        </is>
      </c>
      <c r="G717" t="inlineStr">
        <is>
          <t>TINGSRYD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45110</v>
      </c>
      <c r="E718" s="1" t="n">
        <v>46230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11977-2023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46230</v>
      </c>
      <c r="F719" t="inlineStr">
        <is>
          <t>KRONOBERGS LÄN</t>
        </is>
      </c>
      <c r="G719" t="inlineStr">
        <is>
          <t>TINGSRYD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46230</v>
      </c>
      <c r="F720" t="inlineStr">
        <is>
          <t>KRONOBERGS LÄN</t>
        </is>
      </c>
      <c r="G720" t="inlineStr">
        <is>
          <t>TINGSRYD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10009-2022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44621</v>
      </c>
      <c r="E721" s="1" t="n">
        <v>46230</v>
      </c>
      <c r="F721" t="inlineStr">
        <is>
          <t>KRONOBERGS LÄN</t>
        </is>
      </c>
      <c r="G721" t="inlineStr">
        <is>
          <t>TINGSRYD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58747-2022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44903</v>
      </c>
      <c r="E722" s="1" t="n">
        <v>46230</v>
      </c>
      <c r="F722" t="inlineStr">
        <is>
          <t>KRONOBERGS LÄN</t>
        </is>
      </c>
      <c r="G722" t="inlineStr">
        <is>
          <t>TINGSRYD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58641-2021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44489</v>
      </c>
      <c r="E723" s="1" t="n">
        <v>46230</v>
      </c>
      <c r="F723" t="inlineStr">
        <is>
          <t>KRONOBERGS LÄN</t>
        </is>
      </c>
      <c r="G723" t="inlineStr">
        <is>
          <t>TINGSRYD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25256-2026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46175</v>
      </c>
      <c r="E724" s="1" t="n">
        <v>46230</v>
      </c>
      <c r="F724" t="inlineStr">
        <is>
          <t>KRONOBERGS LÄN</t>
        </is>
      </c>
      <c r="G724" t="inlineStr">
        <is>
          <t>TINGSRYD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25959-2026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46230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46981-2023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45201</v>
      </c>
      <c r="E726" s="1" t="n">
        <v>46230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46230</v>
      </c>
      <c r="F727" t="inlineStr">
        <is>
          <t>KRONOBERGS LÄN</t>
        </is>
      </c>
      <c r="G727" t="inlineStr">
        <is>
          <t>TINGSRYD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46230</v>
      </c>
      <c r="F728" t="inlineStr">
        <is>
          <t>KRONOBERGS LÄN</t>
        </is>
      </c>
      <c r="G728" t="inlineStr">
        <is>
          <t>TINGSRYD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20563-2024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45436</v>
      </c>
      <c r="E729" s="1" t="n">
        <v>46230</v>
      </c>
      <c r="F729" t="inlineStr">
        <is>
          <t>KRONOBERGS LÄN</t>
        </is>
      </c>
      <c r="G729" t="inlineStr">
        <is>
          <t>TINGSRYD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13269-2024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45386</v>
      </c>
      <c r="E730" s="1" t="n">
        <v>46230</v>
      </c>
      <c r="F730" t="inlineStr">
        <is>
          <t>KRONOBERGS LÄN</t>
        </is>
      </c>
      <c r="G730" t="inlineStr">
        <is>
          <t>TINGSRYD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46230</v>
      </c>
      <c r="F731" t="inlineStr">
        <is>
          <t>KRONOBERGS LÄN</t>
        </is>
      </c>
      <c r="G731" t="inlineStr">
        <is>
          <t>TINGSRYD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20892-2024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45439</v>
      </c>
      <c r="E732" s="1" t="n">
        <v>46230</v>
      </c>
      <c r="F732" t="inlineStr">
        <is>
          <t>KRONOBERGS LÄN</t>
        </is>
      </c>
      <c r="G732" t="inlineStr">
        <is>
          <t>TINGSRYD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11080-2022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44628</v>
      </c>
      <c r="E733" s="1" t="n">
        <v>46230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8789-2022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44614</v>
      </c>
      <c r="E734" s="1" t="n">
        <v>46230</v>
      </c>
      <c r="F734" t="inlineStr">
        <is>
          <t>KRONOBERGS LÄN</t>
        </is>
      </c>
      <c r="G734" t="inlineStr">
        <is>
          <t>TINGSRYD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46135</v>
      </c>
      <c r="E735" s="1" t="n">
        <v>46230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21115-2026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46230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45119</v>
      </c>
      <c r="E737" s="1" t="n">
        <v>46230</v>
      </c>
      <c r="F737" t="inlineStr">
        <is>
          <t>KRONOBERGS LÄN</t>
        </is>
      </c>
      <c r="G737" t="inlineStr">
        <is>
          <t>TINGSRYD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46184</v>
      </c>
      <c r="E738" s="1" t="n">
        <v>46230</v>
      </c>
      <c r="F738" t="inlineStr">
        <is>
          <t>KRONOBERGS LÄN</t>
        </is>
      </c>
      <c r="G738" t="inlineStr">
        <is>
          <t>TINGSRYD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46184</v>
      </c>
      <c r="E739" s="1" t="n">
        <v>46230</v>
      </c>
      <c r="F739" t="inlineStr">
        <is>
          <t>KRONOBERGS LÄN</t>
        </is>
      </c>
      <c r="G739" t="inlineStr">
        <is>
          <t>TINGSRYD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36337-2023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45152</v>
      </c>
      <c r="E740" s="1" t="n">
        <v>46230</v>
      </c>
      <c r="F740" t="inlineStr">
        <is>
          <t>KRONOBERGS LÄN</t>
        </is>
      </c>
      <c r="G740" t="inlineStr">
        <is>
          <t>TINGSRYD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45680</v>
      </c>
      <c r="E741" s="1" t="n">
        <v>46230</v>
      </c>
      <c r="F741" t="inlineStr">
        <is>
          <t>KRONOBERGS LÄN</t>
        </is>
      </c>
      <c r="G741" t="inlineStr">
        <is>
          <t>TINGSRYD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44674-2024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45574</v>
      </c>
      <c r="E742" s="1" t="n">
        <v>46230</v>
      </c>
      <c r="F742" t="inlineStr">
        <is>
          <t>KRONOBERGS LÄN</t>
        </is>
      </c>
      <c r="G742" t="inlineStr">
        <is>
          <t>TINGSRYD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49987-2023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45215</v>
      </c>
      <c r="E743" s="1" t="n">
        <v>46230</v>
      </c>
      <c r="F743" t="inlineStr">
        <is>
          <t>KRONOBERGS LÄN</t>
        </is>
      </c>
      <c r="G743" t="inlineStr">
        <is>
          <t>TINGSRYD</t>
        </is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38861-2024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45547</v>
      </c>
      <c r="E744" s="1" t="n">
        <v>46230</v>
      </c>
      <c r="F744" t="inlineStr">
        <is>
          <t>KRONOBERGS LÄN</t>
        </is>
      </c>
      <c r="G744" t="inlineStr">
        <is>
          <t>TINGSRYD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34761-2022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44795</v>
      </c>
      <c r="E745" s="1" t="n">
        <v>46230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22969-2024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45449</v>
      </c>
      <c r="E746" s="1" t="n">
        <v>46230</v>
      </c>
      <c r="F746" t="inlineStr">
        <is>
          <t>KRONOBERGS LÄN</t>
        </is>
      </c>
      <c r="G746" t="inlineStr">
        <is>
          <t>TINGSRYD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45449</v>
      </c>
      <c r="E747" s="1" t="n">
        <v>46230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55973-2023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45240</v>
      </c>
      <c r="E748" s="1" t="n">
        <v>46230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56001-2023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46230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39150-2023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46230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9826-2023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44984</v>
      </c>
      <c r="E751" s="1" t="n">
        <v>46230</v>
      </c>
      <c r="F751" t="inlineStr">
        <is>
          <t>KRONOBERGS LÄN</t>
        </is>
      </c>
      <c r="G751" t="inlineStr">
        <is>
          <t>TINGSRYD</t>
        </is>
      </c>
      <c r="I751" t="n">
        <v>12.4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37126-2023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45155</v>
      </c>
      <c r="E752" s="1" t="n">
        <v>46230</v>
      </c>
      <c r="F752" t="inlineStr">
        <is>
          <t>KRONOBERGS LÄN</t>
        </is>
      </c>
      <c r="G752" t="inlineStr">
        <is>
          <t>TINGSRYD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45112</v>
      </c>
      <c r="E753" s="1" t="n">
        <v>46230</v>
      </c>
      <c r="F753" t="inlineStr">
        <is>
          <t>KRONOBERGS LÄN</t>
        </is>
      </c>
      <c r="G753" t="inlineStr">
        <is>
          <t>TINGSRYD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5616-2023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44960</v>
      </c>
      <c r="E754" s="1" t="n">
        <v>46230</v>
      </c>
      <c r="F754" t="inlineStr">
        <is>
          <t>KRONOBERGS LÄN</t>
        </is>
      </c>
      <c r="G754" t="inlineStr">
        <is>
          <t>TINGSRYD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9791-2022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44620</v>
      </c>
      <c r="E755" s="1" t="n">
        <v>46230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41144-2024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45559</v>
      </c>
      <c r="E756" s="1" t="n">
        <v>46230</v>
      </c>
      <c r="F756" t="inlineStr">
        <is>
          <t>KRONOBERGS LÄN</t>
        </is>
      </c>
      <c r="G756" t="inlineStr">
        <is>
          <t>TINGSRYD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50715-2022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44867</v>
      </c>
      <c r="E757" s="1" t="n">
        <v>46230</v>
      </c>
      <c r="F757" t="inlineStr">
        <is>
          <t>KRONOBERGS LÄN</t>
        </is>
      </c>
      <c r="G757" t="inlineStr">
        <is>
          <t>TINGSRYD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44234-2023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45188</v>
      </c>
      <c r="E758" s="1" t="n">
        <v>46230</v>
      </c>
      <c r="F758" t="inlineStr">
        <is>
          <t>KRONOBERGS LÄN</t>
        </is>
      </c>
      <c r="G758" t="inlineStr">
        <is>
          <t>TINGSRYD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10932-2024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45370</v>
      </c>
      <c r="E759" s="1" t="n">
        <v>46230</v>
      </c>
      <c r="F759" t="inlineStr">
        <is>
          <t>KRONOBERGS LÄN</t>
        </is>
      </c>
      <c r="G759" t="inlineStr">
        <is>
          <t>TINGSRYD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16954-2024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45411</v>
      </c>
      <c r="E760" s="1" t="n">
        <v>46230</v>
      </c>
      <c r="F760" t="inlineStr">
        <is>
          <t>KRONOBERGS LÄN</t>
        </is>
      </c>
      <c r="G760" t="inlineStr">
        <is>
          <t>TINGSRYD</t>
        </is>
      </c>
      <c r="H760" t="inlineStr">
        <is>
          <t>Sveaskog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41126-2024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45559</v>
      </c>
      <c r="E761" s="1" t="n">
        <v>46230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45329</v>
      </c>
      <c r="E762" s="1" t="n">
        <v>46230</v>
      </c>
      <c r="F762" t="inlineStr">
        <is>
          <t>KRONOBERGS LÄN</t>
        </is>
      </c>
      <c r="G762" t="inlineStr">
        <is>
          <t>TINGSRYD</t>
        </is>
      </c>
      <c r="H762" t="inlineStr">
        <is>
          <t>Kommuner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16144-2024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45406</v>
      </c>
      <c r="E763" s="1" t="n">
        <v>46230</v>
      </c>
      <c r="F763" t="inlineStr">
        <is>
          <t>KRONOBERGS LÄN</t>
        </is>
      </c>
      <c r="G763" t="inlineStr">
        <is>
          <t>TINGSRYD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46927-2021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44446</v>
      </c>
      <c r="E764" s="1" t="n">
        <v>46230</v>
      </c>
      <c r="F764" t="inlineStr">
        <is>
          <t>KRONOBERGS LÄN</t>
        </is>
      </c>
      <c r="G764" t="inlineStr">
        <is>
          <t>TINGSRYD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19786-2024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46230</v>
      </c>
      <c r="F765" t="inlineStr">
        <is>
          <t>KRONOBERGS LÄN</t>
        </is>
      </c>
      <c r="G765" t="inlineStr">
        <is>
          <t>TINGSRYD</t>
        </is>
      </c>
      <c r="H765" t="inlineStr">
        <is>
          <t>Sveaskog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26183-2023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45091</v>
      </c>
      <c r="E766" s="1" t="n">
        <v>46230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45546</v>
      </c>
      <c r="E767" s="1" t="n">
        <v>46230</v>
      </c>
      <c r="F767" t="inlineStr">
        <is>
          <t>KRONOBERGS LÄN</t>
        </is>
      </c>
      <c r="G767" t="inlineStr">
        <is>
          <t>TINGSRYD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61447-2023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45264</v>
      </c>
      <c r="E768" s="1" t="n">
        <v>46230</v>
      </c>
      <c r="F768" t="inlineStr">
        <is>
          <t>KRONOBERGS LÄN</t>
        </is>
      </c>
      <c r="G768" t="inlineStr">
        <is>
          <t>TINGSRYD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20130-2022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44698</v>
      </c>
      <c r="E769" s="1" t="n">
        <v>46230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10881-2022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44627</v>
      </c>
      <c r="E770" s="1" t="n">
        <v>46230</v>
      </c>
      <c r="F770" t="inlineStr">
        <is>
          <t>KRONOBERGS LÄN</t>
        </is>
      </c>
      <c r="G770" t="inlineStr">
        <is>
          <t>TINGSRYD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6930-2022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44602</v>
      </c>
      <c r="E771" s="1" t="n">
        <v>46230</v>
      </c>
      <c r="F771" t="inlineStr">
        <is>
          <t>KRONOBERGS LÄN</t>
        </is>
      </c>
      <c r="G771" t="inlineStr">
        <is>
          <t>TINGSRYD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46230</v>
      </c>
      <c r="F772" t="inlineStr">
        <is>
          <t>KRONOBERGS LÄN</t>
        </is>
      </c>
      <c r="G772" t="inlineStr">
        <is>
          <t>TINGSRYD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59169-2022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44904</v>
      </c>
      <c r="E773" s="1" t="n">
        <v>46230</v>
      </c>
      <c r="F773" t="inlineStr">
        <is>
          <t>KRONOBERGS LÄN</t>
        </is>
      </c>
      <c r="G773" t="inlineStr">
        <is>
          <t>TINGSRYD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45051</v>
      </c>
      <c r="E774" s="1" t="n">
        <v>46230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46230</v>
      </c>
      <c r="F775" t="inlineStr">
        <is>
          <t>KRONOBERGS LÄN</t>
        </is>
      </c>
      <c r="G775" t="inlineStr">
        <is>
          <t>TINGSRYD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18435-2022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44685</v>
      </c>
      <c r="E776" s="1" t="n">
        <v>46230</v>
      </c>
      <c r="F776" t="inlineStr">
        <is>
          <t>KRONOBERGS LÄN</t>
        </is>
      </c>
      <c r="G776" t="inlineStr">
        <is>
          <t>TINGSRYD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17333-2023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45035</v>
      </c>
      <c r="E777" s="1" t="n">
        <v>46230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44949</v>
      </c>
      <c r="E778" s="1" t="n">
        <v>46230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34209-2023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45138</v>
      </c>
      <c r="E779" s="1" t="n">
        <v>46230</v>
      </c>
      <c r="F779" t="inlineStr">
        <is>
          <t>KRONOBERGS LÄN</t>
        </is>
      </c>
      <c r="G779" t="inlineStr">
        <is>
          <t>TINGSRYD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9822-2023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44984</v>
      </c>
      <c r="E780" s="1" t="n">
        <v>46230</v>
      </c>
      <c r="F780" t="inlineStr">
        <is>
          <t>KRONOBERGS LÄN</t>
        </is>
      </c>
      <c r="G780" t="inlineStr">
        <is>
          <t>TINGSRYD</t>
        </is>
      </c>
      <c r="I780" t="n">
        <v>8.9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41143-2024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45559</v>
      </c>
      <c r="E781" s="1" t="n">
        <v>46230</v>
      </c>
      <c r="F781" t="inlineStr">
        <is>
          <t>KRONOBERGS LÄN</t>
        </is>
      </c>
      <c r="G781" t="inlineStr">
        <is>
          <t>TINGSRYD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21254-2023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45062</v>
      </c>
      <c r="E782" s="1" t="n">
        <v>46230</v>
      </c>
      <c r="F782" t="inlineStr">
        <is>
          <t>KRONOBERGS LÄN</t>
        </is>
      </c>
      <c r="G782" t="inlineStr">
        <is>
          <t>TINGSRYD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22171-2022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44712</v>
      </c>
      <c r="E783" s="1" t="n">
        <v>46230</v>
      </c>
      <c r="F783" t="inlineStr">
        <is>
          <t>KRONOBERGS LÄN</t>
        </is>
      </c>
      <c r="G783" t="inlineStr">
        <is>
          <t>TINGSRYD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45176</v>
      </c>
      <c r="E784" s="1" t="n">
        <v>46230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58941-2023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46230</v>
      </c>
      <c r="F785" t="inlineStr">
        <is>
          <t>KRONOBERGS LÄN</t>
        </is>
      </c>
      <c r="G785" t="inlineStr">
        <is>
          <t>TINGSRYD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58962-2023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46230</v>
      </c>
      <c r="F786" t="inlineStr">
        <is>
          <t>KRONOBERGS LÄN</t>
        </is>
      </c>
      <c r="G786" t="inlineStr">
        <is>
          <t>TINGSRYD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46230</v>
      </c>
      <c r="F787" t="inlineStr">
        <is>
          <t>KRONOBERGS LÄN</t>
        </is>
      </c>
      <c r="G787" t="inlineStr">
        <is>
          <t>TINGSRYD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5293-2024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45331</v>
      </c>
      <c r="E788" s="1" t="n">
        <v>46230</v>
      </c>
      <c r="F788" t="inlineStr">
        <is>
          <t>KRONOBERGS LÄN</t>
        </is>
      </c>
      <c r="G788" t="inlineStr">
        <is>
          <t>TINGSRYD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5294-2024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45331</v>
      </c>
      <c r="E789" s="1" t="n">
        <v>46230</v>
      </c>
      <c r="F789" t="inlineStr">
        <is>
          <t>KRONOBERGS LÄN</t>
        </is>
      </c>
      <c r="G789" t="inlineStr">
        <is>
          <t>TINGSRYD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13342-2023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45005</v>
      </c>
      <c r="E790" s="1" t="n">
        <v>46230</v>
      </c>
      <c r="F790" t="inlineStr">
        <is>
          <t>KRONOBERGS LÄN</t>
        </is>
      </c>
      <c r="G790" t="inlineStr">
        <is>
          <t>TINGSRYD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33351-2023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45117</v>
      </c>
      <c r="E791" s="1" t="n">
        <v>46230</v>
      </c>
      <c r="F791" t="inlineStr">
        <is>
          <t>KRONOBERGS LÄN</t>
        </is>
      </c>
      <c r="G791" t="inlineStr">
        <is>
          <t>TINGSRYD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14934-2022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44657</v>
      </c>
      <c r="E792" s="1" t="n">
        <v>46230</v>
      </c>
      <c r="F792" t="inlineStr">
        <is>
          <t>KRONOBERGS LÄN</t>
        </is>
      </c>
      <c r="G792" t="inlineStr">
        <is>
          <t>TINGSRYD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45303</v>
      </c>
      <c r="E793" s="1" t="n">
        <v>46230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7589-2023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44972</v>
      </c>
      <c r="E794" s="1" t="n">
        <v>46230</v>
      </c>
      <c r="F794" t="inlineStr">
        <is>
          <t>KRONOBERGS LÄN</t>
        </is>
      </c>
      <c r="G794" t="inlineStr">
        <is>
          <t>TINGSRYD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45109</v>
      </c>
      <c r="E795" s="1" t="n">
        <v>46230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44575</v>
      </c>
      <c r="E796" s="1" t="n">
        <v>46230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22648-2023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45071</v>
      </c>
      <c r="E797" s="1" t="n">
        <v>46230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22656-2023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45071</v>
      </c>
      <c r="E798" s="1" t="n">
        <v>46230</v>
      </c>
      <c r="F798" t="inlineStr">
        <is>
          <t>KRONOBERGS LÄN</t>
        </is>
      </c>
      <c r="G798" t="inlineStr">
        <is>
          <t>TINGSRYD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45392</v>
      </c>
      <c r="E799" s="1" t="n">
        <v>46230</v>
      </c>
      <c r="F799" t="inlineStr">
        <is>
          <t>KRONOBERGS LÄN</t>
        </is>
      </c>
      <c r="G799" t="inlineStr">
        <is>
          <t>TINGSRYD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43308-2023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45183</v>
      </c>
      <c r="E800" s="1" t="n">
        <v>46230</v>
      </c>
      <c r="F800" t="inlineStr">
        <is>
          <t>KRONOBERGS LÄN</t>
        </is>
      </c>
      <c r="G800" t="inlineStr">
        <is>
          <t>TINGSRYD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44950</v>
      </c>
      <c r="E801" s="1" t="n">
        <v>46230</v>
      </c>
      <c r="F801" t="inlineStr">
        <is>
          <t>KRONOBERGS LÄN</t>
        </is>
      </c>
      <c r="G801" t="inlineStr">
        <is>
          <t>TINGSRYD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10599-2023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44988</v>
      </c>
      <c r="E802" s="1" t="n">
        <v>46230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22641-2023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45071</v>
      </c>
      <c r="E803" s="1" t="n">
        <v>46230</v>
      </c>
      <c r="F803" t="inlineStr">
        <is>
          <t>KRONOBERGS LÄN</t>
        </is>
      </c>
      <c r="G803" t="inlineStr">
        <is>
          <t>TINGSRYD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45096</v>
      </c>
      <c r="E804" s="1" t="n">
        <v>46230</v>
      </c>
      <c r="F804" t="inlineStr">
        <is>
          <t>KRONOBERGS LÄN</t>
        </is>
      </c>
      <c r="G804" t="inlineStr">
        <is>
          <t>TINGSRYD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6894-2023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44967</v>
      </c>
      <c r="E805" s="1" t="n">
        <v>46230</v>
      </c>
      <c r="F805" t="inlineStr">
        <is>
          <t>KRONOBERGS LÄN</t>
        </is>
      </c>
      <c r="G805" t="inlineStr">
        <is>
          <t>TINGSRYD</t>
        </is>
      </c>
      <c r="H805" t="inlineStr">
        <is>
          <t>Övriga Aktiebolag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46230</v>
      </c>
      <c r="F806" t="inlineStr">
        <is>
          <t>KRONOBERGS LÄN</t>
        </is>
      </c>
      <c r="G806" t="inlineStr">
        <is>
          <t>TINGSRYD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58256-2022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44901</v>
      </c>
      <c r="E807" s="1" t="n">
        <v>46230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13296-2024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45386</v>
      </c>
      <c r="E808" s="1" t="n">
        <v>46230</v>
      </c>
      <c r="F808" t="inlineStr">
        <is>
          <t>KRONOBERGS LÄN</t>
        </is>
      </c>
      <c r="G808" t="inlineStr">
        <is>
          <t>TINGSRYD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24431-2023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46230</v>
      </c>
      <c r="F809" t="inlineStr">
        <is>
          <t>KRONOBERGS LÄN</t>
        </is>
      </c>
      <c r="G809" t="inlineStr">
        <is>
          <t>TINGSRYD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42994-2023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46230</v>
      </c>
      <c r="F810" t="inlineStr">
        <is>
          <t>KRONOBERGS LÄN</t>
        </is>
      </c>
      <c r="G810" t="inlineStr">
        <is>
          <t>TINGSRYD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45674</v>
      </c>
      <c r="E811" s="1" t="n">
        <v>46230</v>
      </c>
      <c r="F811" t="inlineStr">
        <is>
          <t>KRONOBERGS LÄN</t>
        </is>
      </c>
      <c r="G811" t="inlineStr">
        <is>
          <t>TINGSRYD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50817-2024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45601</v>
      </c>
      <c r="E812" s="1" t="n">
        <v>46230</v>
      </c>
      <c r="F812" t="inlineStr">
        <is>
          <t>KRONOBERGS LÄN</t>
        </is>
      </c>
      <c r="G812" t="inlineStr">
        <is>
          <t>TINGSRYD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12108-2023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44998</v>
      </c>
      <c r="E813" s="1" t="n">
        <v>46230</v>
      </c>
      <c r="F813" t="inlineStr">
        <is>
          <t>KRONOBERGS LÄN</t>
        </is>
      </c>
      <c r="G813" t="inlineStr">
        <is>
          <t>TINGSRYD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44237-2023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45188</v>
      </c>
      <c r="E814" s="1" t="n">
        <v>46230</v>
      </c>
      <c r="F814" t="inlineStr">
        <is>
          <t>KRONOBERGS LÄN</t>
        </is>
      </c>
      <c r="G814" t="inlineStr">
        <is>
          <t>TINGSRYD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11182-2024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45371</v>
      </c>
      <c r="E815" s="1" t="n">
        <v>46230</v>
      </c>
      <c r="F815" t="inlineStr">
        <is>
          <t>KRONOBERGS LÄN</t>
        </is>
      </c>
      <c r="G815" t="inlineStr">
        <is>
          <t>TINGSRYD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43912-2024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45572</v>
      </c>
      <c r="E816" s="1" t="n">
        <v>46230</v>
      </c>
      <c r="F816" t="inlineStr">
        <is>
          <t>KRONOBERGS LÄN</t>
        </is>
      </c>
      <c r="G816" t="inlineStr">
        <is>
          <t>TINGSRYD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4571-2024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45327</v>
      </c>
      <c r="E817" s="1" t="n">
        <v>46230</v>
      </c>
      <c r="F817" t="inlineStr">
        <is>
          <t>KRONOBERGS LÄN</t>
        </is>
      </c>
      <c r="G817" t="inlineStr">
        <is>
          <t>TINGSRYD</t>
        </is>
      </c>
      <c r="H817" t="inlineStr">
        <is>
          <t>Sveaskog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9838-2022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44620</v>
      </c>
      <c r="E818" s="1" t="n">
        <v>46230</v>
      </c>
      <c r="F818" t="inlineStr">
        <is>
          <t>KRONOBERGS LÄN</t>
        </is>
      </c>
      <c r="G818" t="inlineStr">
        <is>
          <t>TINGSRYD</t>
        </is>
      </c>
      <c r="H818" t="inlineStr">
        <is>
          <t>Kommuner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16898-2025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45755</v>
      </c>
      <c r="E819" s="1" t="n">
        <v>46230</v>
      </c>
      <c r="F819" t="inlineStr">
        <is>
          <t>KRONOBERGS LÄN</t>
        </is>
      </c>
      <c r="G819" t="inlineStr">
        <is>
          <t>TINGSRYD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51876-2024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46230</v>
      </c>
      <c r="F820" t="inlineStr">
        <is>
          <t>KRONOBERGS LÄN</t>
        </is>
      </c>
      <c r="G820" t="inlineStr">
        <is>
          <t>TINGSRYD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8919-2025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45713</v>
      </c>
      <c r="E821" s="1" t="n">
        <v>46230</v>
      </c>
      <c r="F821" t="inlineStr">
        <is>
          <t>KRONOBERGS LÄN</t>
        </is>
      </c>
      <c r="G821" t="inlineStr">
        <is>
          <t>TINGSRYD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32810-2023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45124</v>
      </c>
      <c r="E822" s="1" t="n">
        <v>46230</v>
      </c>
      <c r="F822" t="inlineStr">
        <is>
          <t>KRONOBERGS LÄN</t>
        </is>
      </c>
      <c r="G822" t="inlineStr">
        <is>
          <t>TINGSRYD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54168-2024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46230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63697-2023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45275</v>
      </c>
      <c r="E824" s="1" t="n">
        <v>46230</v>
      </c>
      <c r="F824" t="inlineStr">
        <is>
          <t>KRONOBERGS LÄN</t>
        </is>
      </c>
      <c r="G824" t="inlineStr">
        <is>
          <t>TINGSRYD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42095-2023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45175</v>
      </c>
      <c r="E825" s="1" t="n">
        <v>46230</v>
      </c>
      <c r="F825" t="inlineStr">
        <is>
          <t>KRONOBERGS LÄN</t>
        </is>
      </c>
      <c r="G825" t="inlineStr">
        <is>
          <t>TINGSRYD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6416-2024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45338</v>
      </c>
      <c r="E826" s="1" t="n">
        <v>46230</v>
      </c>
      <c r="F826" t="inlineStr">
        <is>
          <t>KRONOBERGS LÄN</t>
        </is>
      </c>
      <c r="G826" t="inlineStr">
        <is>
          <t>TINGSRYD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28506-2022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44748</v>
      </c>
      <c r="E827" s="1" t="n">
        <v>46230</v>
      </c>
      <c r="F827" t="inlineStr">
        <is>
          <t>KRONOBERGS LÄN</t>
        </is>
      </c>
      <c r="G827" t="inlineStr">
        <is>
          <t>TINGSRYD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61558-2024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46230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44743-2024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45574</v>
      </c>
      <c r="E829" s="1" t="n">
        <v>46230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42087-2024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45562</v>
      </c>
      <c r="E830" s="1" t="n">
        <v>46230</v>
      </c>
      <c r="F830" t="inlineStr">
        <is>
          <t>KRONOBERGS LÄN</t>
        </is>
      </c>
      <c r="G830" t="inlineStr">
        <is>
          <t>TINGSRYD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53766-2024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46230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45419</v>
      </c>
      <c r="E832" s="1" t="n">
        <v>46230</v>
      </c>
      <c r="F832" t="inlineStr">
        <is>
          <t>KRONOBERGS LÄN</t>
        </is>
      </c>
      <c r="G832" t="inlineStr">
        <is>
          <t>TINGSRYD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33326-2024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45519</v>
      </c>
      <c r="E833" s="1" t="n">
        <v>46230</v>
      </c>
      <c r="F833" t="inlineStr">
        <is>
          <t>KRONOBERGS LÄN</t>
        </is>
      </c>
      <c r="G833" t="inlineStr">
        <is>
          <t>TINGSRYD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25589-2023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45089</v>
      </c>
      <c r="E834" s="1" t="n">
        <v>46230</v>
      </c>
      <c r="F834" t="inlineStr">
        <is>
          <t>KRONOBERGS LÄN</t>
        </is>
      </c>
      <c r="G834" t="inlineStr">
        <is>
          <t>TINGSRYD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1563-2025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45670</v>
      </c>
      <c r="E835" s="1" t="n">
        <v>46230</v>
      </c>
      <c r="F835" t="inlineStr">
        <is>
          <t>KRONOBERGS LÄN</t>
        </is>
      </c>
      <c r="G835" t="inlineStr">
        <is>
          <t>TINGSRYD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50798-2024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45602</v>
      </c>
      <c r="E836" s="1" t="n">
        <v>46230</v>
      </c>
      <c r="F836" t="inlineStr">
        <is>
          <t>KRONOBERGS LÄN</t>
        </is>
      </c>
      <c r="G836" t="inlineStr">
        <is>
          <t>TINGSRYD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39850-2024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45553</v>
      </c>
      <c r="E837" s="1" t="n">
        <v>46230</v>
      </c>
      <c r="F837" t="inlineStr">
        <is>
          <t>KRONOBERGS LÄN</t>
        </is>
      </c>
      <c r="G837" t="inlineStr">
        <is>
          <t>TINGSRYD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21506-2025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45782</v>
      </c>
      <c r="E838" s="1" t="n">
        <v>46230</v>
      </c>
      <c r="F838" t="inlineStr">
        <is>
          <t>KRONOBERGS LÄN</t>
        </is>
      </c>
      <c r="G838" t="inlineStr">
        <is>
          <t>TINGSRYD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38614-2024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45546</v>
      </c>
      <c r="E839" s="1" t="n">
        <v>46230</v>
      </c>
      <c r="F839" t="inlineStr">
        <is>
          <t>KRONOBERGS LÄN</t>
        </is>
      </c>
      <c r="G839" t="inlineStr">
        <is>
          <t>TINGSRYD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21913-2025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45784</v>
      </c>
      <c r="E840" s="1" t="n">
        <v>46230</v>
      </c>
      <c r="F840" t="inlineStr">
        <is>
          <t>KRONOBERGS LÄN</t>
        </is>
      </c>
      <c r="G840" t="inlineStr">
        <is>
          <t>TINGSRYD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8543-2025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46230</v>
      </c>
      <c r="F841" t="inlineStr">
        <is>
          <t>KRONOBERGS LÄN</t>
        </is>
      </c>
      <c r="G841" t="inlineStr">
        <is>
          <t>TINGSRYD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21914-2025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45784</v>
      </c>
      <c r="E842" s="1" t="n">
        <v>46230</v>
      </c>
      <c r="F842" t="inlineStr">
        <is>
          <t>KRONOBERGS LÄN</t>
        </is>
      </c>
      <c r="G842" t="inlineStr">
        <is>
          <t>TINGSRYD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41824-2023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45176</v>
      </c>
      <c r="E843" s="1" t="n">
        <v>46230</v>
      </c>
      <c r="F843" t="inlineStr">
        <is>
          <t>KRONOBERGS LÄN</t>
        </is>
      </c>
      <c r="G843" t="inlineStr">
        <is>
          <t>TINGSRYD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32612-2022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44783</v>
      </c>
      <c r="E844" s="1" t="n">
        <v>46230</v>
      </c>
      <c r="F844" t="inlineStr">
        <is>
          <t>KRONOBERGS LÄN</t>
        </is>
      </c>
      <c r="G844" t="inlineStr">
        <is>
          <t>TINGSRYD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61851-2023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45266</v>
      </c>
      <c r="E845" s="1" t="n">
        <v>46230</v>
      </c>
      <c r="F845" t="inlineStr">
        <is>
          <t>KRONOBERGS LÄN</t>
        </is>
      </c>
      <c r="G845" t="inlineStr">
        <is>
          <t>TINGSRYD</t>
        </is>
      </c>
      <c r="H845" t="inlineStr">
        <is>
          <t>Övriga Aktiebolag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8743-2025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45712</v>
      </c>
      <c r="E846" s="1" t="n">
        <v>46230</v>
      </c>
      <c r="F846" t="inlineStr">
        <is>
          <t>KRONOBERGS LÄN</t>
        </is>
      </c>
      <c r="G846" t="inlineStr">
        <is>
          <t>TINGSRYD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3303-2025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45679</v>
      </c>
      <c r="E847" s="1" t="n">
        <v>46230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22583-2025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45789</v>
      </c>
      <c r="E848" s="1" t="n">
        <v>46230</v>
      </c>
      <c r="F848" t="inlineStr">
        <is>
          <t>KRONOBERGS LÄN</t>
        </is>
      </c>
      <c r="G848" t="inlineStr">
        <is>
          <t>TINGSRYD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45679</v>
      </c>
      <c r="E849" s="1" t="n">
        <v>46230</v>
      </c>
      <c r="F849" t="inlineStr">
        <is>
          <t>KRONOBERGS LÄN</t>
        </is>
      </c>
      <c r="G849" t="inlineStr">
        <is>
          <t>TINGSRYD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55126-2023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45230</v>
      </c>
      <c r="E850" s="1" t="n">
        <v>46230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32624-2022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44783</v>
      </c>
      <c r="E851" s="1" t="n">
        <v>46230</v>
      </c>
      <c r="F851" t="inlineStr">
        <is>
          <t>KRONOBERGS LÄN</t>
        </is>
      </c>
      <c r="G851" t="inlineStr">
        <is>
          <t>TINGSRYD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43263-2024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45568</v>
      </c>
      <c r="E852" s="1" t="n">
        <v>46230</v>
      </c>
      <c r="F852" t="inlineStr">
        <is>
          <t>KRONOBERGS LÄN</t>
        </is>
      </c>
      <c r="G852" t="inlineStr">
        <is>
          <t>TINGSRYD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32142-2024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45511</v>
      </c>
      <c r="E853" s="1" t="n">
        <v>46230</v>
      </c>
      <c r="F853" t="inlineStr">
        <is>
          <t>KRONOBERGS LÄN</t>
        </is>
      </c>
      <c r="G853" t="inlineStr">
        <is>
          <t>TINGSRYD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58819-2024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45636</v>
      </c>
      <c r="E854" s="1" t="n">
        <v>46230</v>
      </c>
      <c r="F854" t="inlineStr">
        <is>
          <t>KRONOBERGS LÄN</t>
        </is>
      </c>
      <c r="G854" t="inlineStr">
        <is>
          <t>TINGSRYD</t>
        </is>
      </c>
      <c r="H854" t="inlineStr">
        <is>
          <t>Övriga Aktiebolag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7307-2024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45345</v>
      </c>
      <c r="E855" s="1" t="n">
        <v>46230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58927-2023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45252</v>
      </c>
      <c r="E856" s="1" t="n">
        <v>46230</v>
      </c>
      <c r="F856" t="inlineStr">
        <is>
          <t>KRONOBERGS LÄN</t>
        </is>
      </c>
      <c r="G856" t="inlineStr">
        <is>
          <t>TINGSRYD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38571-2021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44407</v>
      </c>
      <c r="E857" s="1" t="n">
        <v>46230</v>
      </c>
      <c r="F857" t="inlineStr">
        <is>
          <t>KRONOBERGS LÄN</t>
        </is>
      </c>
      <c r="G857" t="inlineStr">
        <is>
          <t>TINGSRYD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48953-2024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46230</v>
      </c>
      <c r="F858" t="inlineStr">
        <is>
          <t>KRONOBERGS LÄN</t>
        </is>
      </c>
      <c r="G858" t="inlineStr">
        <is>
          <t>TINGSRYD</t>
        </is>
      </c>
      <c r="I858" t="n">
        <v>4.3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7310-2024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45345</v>
      </c>
      <c r="E859" s="1" t="n">
        <v>46230</v>
      </c>
      <c r="F859" t="inlineStr">
        <is>
          <t>KRONOBERGS LÄN</t>
        </is>
      </c>
      <c r="G859" t="inlineStr">
        <is>
          <t>TINGSRYD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42349-2024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45562</v>
      </c>
      <c r="E860" s="1" t="n">
        <v>46230</v>
      </c>
      <c r="F860" t="inlineStr">
        <is>
          <t>KRONOBERGS LÄN</t>
        </is>
      </c>
      <c r="G860" t="inlineStr">
        <is>
          <t>TINGSRYD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48306-2024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45590</v>
      </c>
      <c r="E861" s="1" t="n">
        <v>46230</v>
      </c>
      <c r="F861" t="inlineStr">
        <is>
          <t>KRONOBERGS LÄN</t>
        </is>
      </c>
      <c r="G861" t="inlineStr">
        <is>
          <t>TINGSRYD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49965-2024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46230</v>
      </c>
      <c r="F862" t="inlineStr">
        <is>
          <t>KRONOBERGS LÄN</t>
        </is>
      </c>
      <c r="G862" t="inlineStr">
        <is>
          <t>TINGSRYD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59085-2024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45637</v>
      </c>
      <c r="E863" s="1" t="n">
        <v>46230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45393-2024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45576</v>
      </c>
      <c r="E864" s="1" t="n">
        <v>46230</v>
      </c>
      <c r="F864" t="inlineStr">
        <is>
          <t>KRONOBERGS LÄN</t>
        </is>
      </c>
      <c r="G864" t="inlineStr">
        <is>
          <t>TINGSRYD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42390-2024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45565</v>
      </c>
      <c r="E865" s="1" t="n">
        <v>46230</v>
      </c>
      <c r="F865" t="inlineStr">
        <is>
          <t>KRONOBERGS LÄN</t>
        </is>
      </c>
      <c r="G865" t="inlineStr">
        <is>
          <t>TINGSRYD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34247-2024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45524</v>
      </c>
      <c r="E866" s="1" t="n">
        <v>46230</v>
      </c>
      <c r="F866" t="inlineStr">
        <is>
          <t>KRONOBERGS LÄN</t>
        </is>
      </c>
      <c r="G866" t="inlineStr">
        <is>
          <t>TINGSRYD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45670</v>
      </c>
      <c r="E867" s="1" t="n">
        <v>46230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23823-2025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46230</v>
      </c>
      <c r="F868" t="inlineStr">
        <is>
          <t>KRONOBERGS LÄN</t>
        </is>
      </c>
      <c r="G868" t="inlineStr">
        <is>
          <t>TINGSRYD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45793</v>
      </c>
      <c r="E869" s="1" t="n">
        <v>46230</v>
      </c>
      <c r="F869" t="inlineStr">
        <is>
          <t>KRONOBERGS LÄN</t>
        </is>
      </c>
      <c r="G869" t="inlineStr">
        <is>
          <t>TINGSRYD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23828-2025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45793</v>
      </c>
      <c r="E870" s="1" t="n">
        <v>46230</v>
      </c>
      <c r="F870" t="inlineStr">
        <is>
          <t>KRONOBERGS LÄN</t>
        </is>
      </c>
      <c r="G870" t="inlineStr">
        <is>
          <t>TINGSRYD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23838-2025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45793</v>
      </c>
      <c r="E871" s="1" t="n">
        <v>46230</v>
      </c>
      <c r="F871" t="inlineStr">
        <is>
          <t>KRONOBERGS LÄN</t>
        </is>
      </c>
      <c r="G871" t="inlineStr">
        <is>
          <t>TINGSRYD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28226-2024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45477</v>
      </c>
      <c r="E872" s="1" t="n">
        <v>46230</v>
      </c>
      <c r="F872" t="inlineStr">
        <is>
          <t>KRONOBERGS LÄN</t>
        </is>
      </c>
      <c r="G872" t="inlineStr">
        <is>
          <t>TINGSRYD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35854-2024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45533</v>
      </c>
      <c r="E873" s="1" t="n">
        <v>46230</v>
      </c>
      <c r="F873" t="inlineStr">
        <is>
          <t>KRONOBERGS LÄN</t>
        </is>
      </c>
      <c r="G873" t="inlineStr">
        <is>
          <t>TINGSRYD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5265-2025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45692</v>
      </c>
      <c r="E874" s="1" t="n">
        <v>46230</v>
      </c>
      <c r="F874" t="inlineStr">
        <is>
          <t>KRONOBERGS LÄN</t>
        </is>
      </c>
      <c r="G874" t="inlineStr">
        <is>
          <t>TINGSRYD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45478</v>
      </c>
      <c r="E875" s="1" t="n">
        <v>46230</v>
      </c>
      <c r="F875" t="inlineStr">
        <is>
          <t>KRONOBERGS LÄN</t>
        </is>
      </c>
      <c r="G875" t="inlineStr">
        <is>
          <t>TINGSRYD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45684</v>
      </c>
      <c r="E876" s="1" t="n">
        <v>46230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59088-2024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45637</v>
      </c>
      <c r="E877" s="1" t="n">
        <v>46230</v>
      </c>
      <c r="F877" t="inlineStr">
        <is>
          <t>KRONOBERGS LÄN</t>
        </is>
      </c>
      <c r="G877" t="inlineStr">
        <is>
          <t>TINGSRYD</t>
        </is>
      </c>
      <c r="H877" t="inlineStr">
        <is>
          <t>Övriga Aktiebolag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11541-2025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45727</v>
      </c>
      <c r="E878" s="1" t="n">
        <v>46230</v>
      </c>
      <c r="F878" t="inlineStr">
        <is>
          <t>KRONOBERGS LÄN</t>
        </is>
      </c>
      <c r="G878" t="inlineStr">
        <is>
          <t>TINGSRYD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26983-2025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45811</v>
      </c>
      <c r="E879" s="1" t="n">
        <v>46230</v>
      </c>
      <c r="F879" t="inlineStr">
        <is>
          <t>KRONOBERGS LÄN</t>
        </is>
      </c>
      <c r="G879" t="inlineStr">
        <is>
          <t>TINGSRYD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23821-2025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45793</v>
      </c>
      <c r="E880" s="1" t="n">
        <v>46230</v>
      </c>
      <c r="F880" t="inlineStr">
        <is>
          <t>KRONOBERGS LÄN</t>
        </is>
      </c>
      <c r="G880" t="inlineStr">
        <is>
          <t>TINGSRYD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28732-2025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45820</v>
      </c>
      <c r="E881" s="1" t="n">
        <v>46230</v>
      </c>
      <c r="F881" t="inlineStr">
        <is>
          <t>KRONOBERGS LÄN</t>
        </is>
      </c>
      <c r="G881" t="inlineStr">
        <is>
          <t>TINGSRYD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30230-2025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46230</v>
      </c>
      <c r="F882" t="inlineStr">
        <is>
          <t>KRONOBERGS LÄN</t>
        </is>
      </c>
      <c r="G882" t="inlineStr">
        <is>
          <t>TINGSRYD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30840-2025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45831</v>
      </c>
      <c r="E883" s="1" t="n">
        <v>46230</v>
      </c>
      <c r="F883" t="inlineStr">
        <is>
          <t>KRONOBERGS LÄN</t>
        </is>
      </c>
      <c r="G883" t="inlineStr">
        <is>
          <t>TINGSRYD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30842-2025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46230</v>
      </c>
      <c r="F884" t="inlineStr">
        <is>
          <t>KRONOBERGS LÄN</t>
        </is>
      </c>
      <c r="G884" t="inlineStr">
        <is>
          <t>TINGSRYD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31002-2025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45832</v>
      </c>
      <c r="E885" s="1" t="n">
        <v>46230</v>
      </c>
      <c r="F885" t="inlineStr">
        <is>
          <t>KRONOBERGS LÄN</t>
        </is>
      </c>
      <c r="G885" t="inlineStr">
        <is>
          <t>TINGSRYD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7989-2022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44609</v>
      </c>
      <c r="E886" s="1" t="n">
        <v>46230</v>
      </c>
      <c r="F886" t="inlineStr">
        <is>
          <t>KRONOBERGS LÄN</t>
        </is>
      </c>
      <c r="G886" t="inlineStr">
        <is>
          <t>TINGSRYD</t>
        </is>
      </c>
      <c r="H886" t="inlineStr">
        <is>
          <t>Kommuner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32493-2025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45838</v>
      </c>
      <c r="E887" s="1" t="n">
        <v>46230</v>
      </c>
      <c r="F887" t="inlineStr">
        <is>
          <t>KRONOBERGS LÄN</t>
        </is>
      </c>
      <c r="G887" t="inlineStr">
        <is>
          <t>TINGSRYD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32884-2025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45839</v>
      </c>
      <c r="E888" s="1" t="n">
        <v>46230</v>
      </c>
      <c r="F888" t="inlineStr">
        <is>
          <t>KRONOBERGS LÄN</t>
        </is>
      </c>
      <c r="G888" t="inlineStr">
        <is>
          <t>TINGSRYD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20221-2024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45434</v>
      </c>
      <c r="E889" s="1" t="n">
        <v>46230</v>
      </c>
      <c r="F889" t="inlineStr">
        <is>
          <t>KRONOBERGS LÄN</t>
        </is>
      </c>
      <c r="G889" t="inlineStr">
        <is>
          <t>TINGSRYD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33565-2025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45841</v>
      </c>
      <c r="E890" s="1" t="n">
        <v>46230</v>
      </c>
      <c r="F890" t="inlineStr">
        <is>
          <t>KRONOBERGS LÄN</t>
        </is>
      </c>
      <c r="G890" t="inlineStr">
        <is>
          <t>TINGSRYD</t>
        </is>
      </c>
      <c r="I890" t="n">
        <v>8.4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2805-2025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45677</v>
      </c>
      <c r="E891" s="1" t="n">
        <v>46230</v>
      </c>
      <c r="F891" t="inlineStr">
        <is>
          <t>KRONOBERGS LÄN</t>
        </is>
      </c>
      <c r="G891" t="inlineStr">
        <is>
          <t>TINGSRYD</t>
        </is>
      </c>
      <c r="H891" t="inlineStr">
        <is>
          <t>Sveaskog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33721-2025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45841</v>
      </c>
      <c r="E892" s="1" t="n">
        <v>46230</v>
      </c>
      <c r="F892" t="inlineStr">
        <is>
          <t>KRONOBERGS LÄN</t>
        </is>
      </c>
      <c r="G892" t="inlineStr">
        <is>
          <t>TINGSRYD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45751</v>
      </c>
      <c r="E893" s="1" t="n">
        <v>46230</v>
      </c>
      <c r="F893" t="inlineStr">
        <is>
          <t>KRONOBERGS LÄN</t>
        </is>
      </c>
      <c r="G893" t="inlineStr">
        <is>
          <t>TINGSRYD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48687-2021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44452</v>
      </c>
      <c r="E894" s="1" t="n">
        <v>46230</v>
      </c>
      <c r="F894" t="inlineStr">
        <is>
          <t>KRONOBERGS LÄN</t>
        </is>
      </c>
      <c r="G894" t="inlineStr">
        <is>
          <t>TINGSRYD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45684</v>
      </c>
      <c r="E895" s="1" t="n">
        <v>46230</v>
      </c>
      <c r="F895" t="inlineStr">
        <is>
          <t>KRONOBERGS LÄN</t>
        </is>
      </c>
      <c r="G895" t="inlineStr">
        <is>
          <t>TINGSRYD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25941-2023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45090</v>
      </c>
      <c r="E896" s="1" t="n">
        <v>46230</v>
      </c>
      <c r="F896" t="inlineStr">
        <is>
          <t>KRONOBERGS LÄN</t>
        </is>
      </c>
      <c r="G896" t="inlineStr">
        <is>
          <t>TINGSRYD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60746-2024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45644</v>
      </c>
      <c r="E897" s="1" t="n">
        <v>46230</v>
      </c>
      <c r="F897" t="inlineStr">
        <is>
          <t>KRONOBERGS LÄN</t>
        </is>
      </c>
      <c r="G897" t="inlineStr">
        <is>
          <t>TINGSRYD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46230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46230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46230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46230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46230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46230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46230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2051-2022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44672</v>
      </c>
      <c r="E905" s="1" t="n">
        <v>46230</v>
      </c>
      <c r="F905" t="inlineStr">
        <is>
          <t>KRONOBERGS LÄN</t>
        </is>
      </c>
      <c r="G905" t="inlineStr">
        <is>
          <t>TINGSRYD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46230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46230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46230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46230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3193-2022</t>
        </is>
      </c>
      <c r="B910" t="inlineStr">
        <is>
          <t>samrådsanmälan</t>
        </is>
      </c>
      <c r="C910" t="inlineStr">
        <is>
          <t>Åtgärd i nyckelbiotop</t>
        </is>
      </c>
      <c r="D910" s="1" t="n">
        <v>44722</v>
      </c>
      <c r="E910" s="1" t="n">
        <v>46230</v>
      </c>
      <c r="F910" t="inlineStr">
        <is>
          <t>KRONOBERGS LÄN</t>
        </is>
      </c>
      <c r="G910" t="inlineStr">
        <is>
          <t>TINGSRYD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46230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46230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46230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46230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46230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46230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46230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46230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46230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46230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46230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46230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46230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46230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46230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46230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46230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46230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46230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46230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46230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46230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46230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46230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46230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46230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46230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46230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46230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46230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46230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46230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46230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2026-07-27T01:47:58Z</dcterms:created>
  <dcterms:modified xmlns:dcterms="http://purl.org/dc/terms/" xmlns:xsi="http://www.w3.org/2001/XMLSchema-instance" xsi:type="dcterms:W3CDTF">2026-07-27T01:47:59Z</dcterms:modified>
</cp:coreProperties>
</file>