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46132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46132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46132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46132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46132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46132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46132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20926-2023</t>
        </is>
      </c>
      <c r="B9" s="1" t="n">
        <v>45061</v>
      </c>
      <c r="C9" s="1" t="n">
        <v>46132</v>
      </c>
      <c r="D9" t="inlineStr">
        <is>
          <t>KRONOBERGS LÄN</t>
        </is>
      </c>
      <c r="E9" t="inlineStr">
        <is>
          <t>TINGSRYD</t>
        </is>
      </c>
      <c r="F9" t="inlineStr">
        <is>
          <t>Övriga Aktiebolag</t>
        </is>
      </c>
      <c r="G9" t="n">
        <v>3.2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HYPERLINK("https://klasma.github.io/Logging_0763/artfynd/A 20926-2023 artfynd.xlsx", "A 20926-2023")</f>
        <v/>
      </c>
      <c r="T9">
        <f>HYPERLINK("https://klasma.github.io/Logging_0763/kartor/A 20926-2023 karta.png", "A 20926-2023")</f>
        <v/>
      </c>
      <c r="V9">
        <f>HYPERLINK("https://klasma.github.io/Logging_0763/klagomål/A 20926-2023 FSC-klagomål.docx", "A 20926-2023")</f>
        <v/>
      </c>
      <c r="W9">
        <f>HYPERLINK("https://klasma.github.io/Logging_0763/klagomålsmail/A 20926-2023 FSC-klagomål mail.docx", "A 20926-2023")</f>
        <v/>
      </c>
      <c r="X9">
        <f>HYPERLINK("https://klasma.github.io/Logging_0763/tillsyn/A 20926-2023 tillsynsbegäran.docx", "A 20926-2023")</f>
        <v/>
      </c>
      <c r="Y9">
        <f>HYPERLINK("https://klasma.github.io/Logging_0763/tillsynsmail/A 20926-2023 tillsynsbegäran mail.docx", "A 20926-2023")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46132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46132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5344-2026</t>
        </is>
      </c>
      <c r="B12" s="1" t="n">
        <v>46050.43190972223</v>
      </c>
      <c r="C12" s="1" t="n">
        <v>46132</v>
      </c>
      <c r="D12" t="inlineStr">
        <is>
          <t>KRONOBERGS LÄN</t>
        </is>
      </c>
      <c r="E12" t="inlineStr">
        <is>
          <t>TINGSRYD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Underviol</t>
        </is>
      </c>
      <c r="S12">
        <f>HYPERLINK("https://klasma.github.io/Logging_0763/artfynd/A 5344-2026 artfynd.xlsx", "A 5344-2026")</f>
        <v/>
      </c>
      <c r="T12">
        <f>HYPERLINK("https://klasma.github.io/Logging_0763/kartor/A 5344-2026 karta.png", "A 5344-2026")</f>
        <v/>
      </c>
      <c r="V12">
        <f>HYPERLINK("https://klasma.github.io/Logging_0763/klagomål/A 5344-2026 FSC-klagomål.docx", "A 5344-2026")</f>
        <v/>
      </c>
      <c r="W12">
        <f>HYPERLINK("https://klasma.github.io/Logging_0763/klagomålsmail/A 5344-2026 FSC-klagomål mail.docx", "A 5344-2026")</f>
        <v/>
      </c>
      <c r="X12">
        <f>HYPERLINK("https://klasma.github.io/Logging_0763/tillsyn/A 5344-2026 tillsynsbegäran.docx", "A 5344-2026")</f>
        <v/>
      </c>
      <c r="Y12">
        <f>HYPERLINK("https://klasma.github.io/Logging_0763/tillsynsmail/A 5344-2026 tillsynsbegäran mail.docx", "A 5344-2026")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46132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46132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46132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13497-2024</t>
        </is>
      </c>
      <c r="B16" s="1" t="n">
        <v>45387</v>
      </c>
      <c r="C16" s="1" t="n">
        <v>46132</v>
      </c>
      <c r="D16" t="inlineStr">
        <is>
          <t>KRONOBERGS LÄN</t>
        </is>
      </c>
      <c r="E16" t="inlineStr">
        <is>
          <t>TINGSRYD</t>
        </is>
      </c>
      <c r="G16" t="n">
        <v>3.2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HYPERLINK("https://klasma.github.io/Logging_0763/artfynd/A 13497-2024 artfynd.xlsx", "A 13497-2024")</f>
        <v/>
      </c>
      <c r="T16">
        <f>HYPERLINK("https://klasma.github.io/Logging_0763/kartor/A 13497-2024 karta.png", "A 13497-2024")</f>
        <v/>
      </c>
      <c r="U16">
        <f>HYPERLINK("https://klasma.github.io/Logging_0763/knärot/A 13497-2024 karta knärot.png", "A 13497-2024")</f>
        <v/>
      </c>
      <c r="V16">
        <f>HYPERLINK("https://klasma.github.io/Logging_0763/klagomål/A 13497-2024 FSC-klagomål.docx", "A 13497-2024")</f>
        <v/>
      </c>
      <c r="W16">
        <f>HYPERLINK("https://klasma.github.io/Logging_0763/klagomålsmail/A 13497-2024 FSC-klagomål mail.docx", "A 13497-2024")</f>
        <v/>
      </c>
      <c r="X16">
        <f>HYPERLINK("https://klasma.github.io/Logging_0763/tillsyn/A 13497-2024 tillsynsbegäran.docx", "A 13497-2024")</f>
        <v/>
      </c>
      <c r="Y16">
        <f>HYPERLINK("https://klasma.github.io/Logging_0763/tillsynsmail/A 13497-2024 tillsynsbegäran mail.docx", "A 13497-2024")</f>
        <v/>
      </c>
    </row>
    <row r="17" ht="15" customHeight="1">
      <c r="A17" t="inlineStr">
        <is>
          <t>A 40368-2025</t>
        </is>
      </c>
      <c r="B17" s="1" t="n">
        <v>45895.5059375</v>
      </c>
      <c r="C17" s="1" t="n">
        <v>46132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HYPERLINK("https://klasma.github.io/Logging_0763/artfynd/A 40368-2025 artfynd.xlsx", "A 40368-2025")</f>
        <v/>
      </c>
      <c r="T17">
        <f>HYPERLINK("https://klasma.github.io/Logging_0763/kartor/A 40368-2025 karta.png", "A 40368-2025")</f>
        <v/>
      </c>
      <c r="V17">
        <f>HYPERLINK("https://klasma.github.io/Logging_0763/klagomål/A 40368-2025 FSC-klagomål.docx", "A 40368-2025")</f>
        <v/>
      </c>
      <c r="W17">
        <f>HYPERLINK("https://klasma.github.io/Logging_0763/klagomålsmail/A 40368-2025 FSC-klagomål mail.docx", "A 40368-2025")</f>
        <v/>
      </c>
      <c r="X17">
        <f>HYPERLINK("https://klasma.github.io/Logging_0763/tillsyn/A 40368-2025 tillsynsbegäran.docx", "A 40368-2025")</f>
        <v/>
      </c>
      <c r="Y17">
        <f>HYPERLINK("https://klasma.github.io/Logging_0763/tillsynsmail/A 40368-2025 tillsynsbegäran mail.docx", "A 40368-2025")</f>
        <v/>
      </c>
      <c r="Z17">
        <f>HYPERLINK("https://klasma.github.io/Logging_0763/fåglar/A 40368-2025 prioriterade fågelarter.docx", "A 40368-2025")</f>
        <v/>
      </c>
    </row>
    <row r="18" ht="15" customHeight="1">
      <c r="A18" t="inlineStr">
        <is>
          <t>A 11270-2023</t>
        </is>
      </c>
      <c r="B18" s="1" t="n">
        <v>44992.68729166667</v>
      </c>
      <c r="C18" s="1" t="n">
        <v>46132</v>
      </c>
      <c r="D18" t="inlineStr">
        <is>
          <t>KRONOBERGS LÄN</t>
        </is>
      </c>
      <c r="E18" t="inlineStr">
        <is>
          <t>TINGSRYD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HYPERLINK("https://klasma.github.io/Logging_0763/artfynd/A 11270-2023 artfynd.xlsx", "A 11270-2023")</f>
        <v/>
      </c>
      <c r="T18">
        <f>HYPERLINK("https://klasma.github.io/Logging_0763/kartor/A 11270-2023 karta.png", "A 11270-2023")</f>
        <v/>
      </c>
      <c r="V18">
        <f>HYPERLINK("https://klasma.github.io/Logging_0763/klagomål/A 11270-2023 FSC-klagomål.docx", "A 11270-2023")</f>
        <v/>
      </c>
      <c r="W18">
        <f>HYPERLINK("https://klasma.github.io/Logging_0763/klagomålsmail/A 11270-2023 FSC-klagomål mail.docx", "A 11270-2023")</f>
        <v/>
      </c>
      <c r="X18">
        <f>HYPERLINK("https://klasma.github.io/Logging_0763/tillsyn/A 11270-2023 tillsynsbegäran.docx", "A 11270-2023")</f>
        <v/>
      </c>
      <c r="Y18">
        <f>HYPERLINK("https://klasma.github.io/Logging_0763/tillsynsmail/A 11270-2023 tillsynsbegäran mail.docx", "A 11270-2023")</f>
        <v/>
      </c>
    </row>
    <row r="19" ht="15" customHeight="1">
      <c r="A19" t="inlineStr">
        <is>
          <t>A 41107-2025</t>
        </is>
      </c>
      <c r="B19" s="1" t="n">
        <v>45898.45767361111</v>
      </c>
      <c r="C19" s="1" t="n">
        <v>46132</v>
      </c>
      <c r="D19" t="inlineStr">
        <is>
          <t>KRONOBERGS LÄN</t>
        </is>
      </c>
      <c r="E19" t="inlineStr">
        <is>
          <t>TINGSRYD</t>
        </is>
      </c>
      <c r="F19" t="inlineStr">
        <is>
          <t>Kommuner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41107-2025 artfynd.xlsx", "A 41107-2025")</f>
        <v/>
      </c>
      <c r="T19">
        <f>HYPERLINK("https://klasma.github.io/Logging_0763/kartor/A 41107-2025 karta.png", "A 41107-2025")</f>
        <v/>
      </c>
      <c r="V19">
        <f>HYPERLINK("https://klasma.github.io/Logging_0763/klagomål/A 41107-2025 FSC-klagomål.docx", "A 41107-2025")</f>
        <v/>
      </c>
      <c r="W19">
        <f>HYPERLINK("https://klasma.github.io/Logging_0763/klagomålsmail/A 41107-2025 FSC-klagomål mail.docx", "A 41107-2025")</f>
        <v/>
      </c>
      <c r="X19">
        <f>HYPERLINK("https://klasma.github.io/Logging_0763/tillsyn/A 41107-2025 tillsynsbegäran.docx", "A 41107-2025")</f>
        <v/>
      </c>
      <c r="Y19">
        <f>HYPERLINK("https://klasma.github.io/Logging_0763/tillsynsmail/A 41107-2025 tillsynsbegäran mail.docx", "A 41107-2025")</f>
        <v/>
      </c>
    </row>
    <row r="20" ht="15" customHeight="1">
      <c r="A20" t="inlineStr">
        <is>
          <t>A 31438-2025</t>
        </is>
      </c>
      <c r="B20" s="1" t="n">
        <v>45833</v>
      </c>
      <c r="C20" s="1" t="n">
        <v>46132</v>
      </c>
      <c r="D20" t="inlineStr">
        <is>
          <t>KRONOBERGS LÄN</t>
        </is>
      </c>
      <c r="E20" t="inlineStr">
        <is>
          <t>TINGSRYD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HYPERLINK("https://klasma.github.io/Logging_0763/artfynd/A 31438-2025 artfynd.xlsx", "A 31438-2025")</f>
        <v/>
      </c>
      <c r="T20">
        <f>HYPERLINK("https://klasma.github.io/Logging_0763/kartor/A 31438-2025 karta.png", "A 31438-2025")</f>
        <v/>
      </c>
      <c r="V20">
        <f>HYPERLINK("https://klasma.github.io/Logging_0763/klagomål/A 31438-2025 FSC-klagomål.docx", "A 31438-2025")</f>
        <v/>
      </c>
      <c r="W20">
        <f>HYPERLINK("https://klasma.github.io/Logging_0763/klagomålsmail/A 31438-2025 FSC-klagomål mail.docx", "A 31438-2025")</f>
        <v/>
      </c>
      <c r="X20">
        <f>HYPERLINK("https://klasma.github.io/Logging_0763/tillsyn/A 31438-2025 tillsynsbegäran.docx", "A 31438-2025")</f>
        <v/>
      </c>
      <c r="Y20">
        <f>HYPERLINK("https://klasma.github.io/Logging_0763/tillsynsmail/A 31438-2025 tillsynsbegäran mail.docx", "A 31438-2025")</f>
        <v/>
      </c>
    </row>
    <row r="21" ht="15" customHeight="1">
      <c r="A21" t="inlineStr">
        <is>
          <t>A 30330-2025</t>
        </is>
      </c>
      <c r="B21" s="1" t="n">
        <v>45827.50682870371</v>
      </c>
      <c r="C21" s="1" t="n">
        <v>46132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30330-2025 artfynd.xlsx", "A 30330-2025")</f>
        <v/>
      </c>
      <c r="T21">
        <f>HYPERLINK("https://klasma.github.io/Logging_0763/kartor/A 30330-2025 karta.png", "A 30330-2025")</f>
        <v/>
      </c>
      <c r="V21">
        <f>HYPERLINK("https://klasma.github.io/Logging_0763/klagomål/A 30330-2025 FSC-klagomål.docx", "A 30330-2025")</f>
        <v/>
      </c>
      <c r="W21">
        <f>HYPERLINK("https://klasma.github.io/Logging_0763/klagomålsmail/A 30330-2025 FSC-klagomål mail.docx", "A 30330-2025")</f>
        <v/>
      </c>
      <c r="X21">
        <f>HYPERLINK("https://klasma.github.io/Logging_0763/tillsyn/A 30330-2025 tillsynsbegäran.docx", "A 30330-2025")</f>
        <v/>
      </c>
      <c r="Y21">
        <f>HYPERLINK("https://klasma.github.io/Logging_0763/tillsynsmail/A 30330-2025 tillsynsbegäran mail.docx", "A 30330-2025")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46132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33730-2025</t>
        </is>
      </c>
      <c r="B23" s="1" t="n">
        <v>45842.29693287037</v>
      </c>
      <c r="C23" s="1" t="n">
        <v>46132</v>
      </c>
      <c r="D23" t="inlineStr">
        <is>
          <t>KRONOBERGS LÄN</t>
        </is>
      </c>
      <c r="E23" t="inlineStr">
        <is>
          <t>TINGSRYD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Backmåra</t>
        </is>
      </c>
      <c r="S23">
        <f>HYPERLINK("https://klasma.github.io/Logging_0763/artfynd/A 33730-2025 artfynd.xlsx", "A 33730-2025")</f>
        <v/>
      </c>
      <c r="T23">
        <f>HYPERLINK("https://klasma.github.io/Logging_0763/kartor/A 33730-2025 karta.png", "A 33730-2025")</f>
        <v/>
      </c>
      <c r="V23">
        <f>HYPERLINK("https://klasma.github.io/Logging_0763/klagomål/A 33730-2025 FSC-klagomål.docx", "A 33730-2025")</f>
        <v/>
      </c>
      <c r="W23">
        <f>HYPERLINK("https://klasma.github.io/Logging_0763/klagomålsmail/A 33730-2025 FSC-klagomål mail.docx", "A 33730-2025")</f>
        <v/>
      </c>
      <c r="X23">
        <f>HYPERLINK("https://klasma.github.io/Logging_0763/tillsyn/A 33730-2025 tillsynsbegäran.docx", "A 33730-2025")</f>
        <v/>
      </c>
      <c r="Y23">
        <f>HYPERLINK("https://klasma.github.io/Logging_0763/tillsynsmail/A 33730-2025 tillsynsbegäran mail.docx", "A 33730-2025")</f>
        <v/>
      </c>
    </row>
    <row r="24" ht="15" customHeight="1">
      <c r="A24" t="inlineStr">
        <is>
          <t>A 34928-2025</t>
        </is>
      </c>
      <c r="B24" s="1" t="n">
        <v>45849.56431712963</v>
      </c>
      <c r="C24" s="1" t="n">
        <v>46132</v>
      </c>
      <c r="D24" t="inlineStr">
        <is>
          <t>KRONOBERGS LÄN</t>
        </is>
      </c>
      <c r="E24" t="inlineStr">
        <is>
          <t>TINGSRYD</t>
        </is>
      </c>
      <c r="G24" t="n">
        <v>8.5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34928-2025 artfynd.xlsx", "A 34928-2025")</f>
        <v/>
      </c>
      <c r="T24">
        <f>HYPERLINK("https://klasma.github.io/Logging_0763/kartor/A 34928-2025 karta.png", "A 34928-2025")</f>
        <v/>
      </c>
      <c r="V24">
        <f>HYPERLINK("https://klasma.github.io/Logging_0763/klagomål/A 34928-2025 FSC-klagomål.docx", "A 34928-2025")</f>
        <v/>
      </c>
      <c r="W24">
        <f>HYPERLINK("https://klasma.github.io/Logging_0763/klagomålsmail/A 34928-2025 FSC-klagomål mail.docx", "A 34928-2025")</f>
        <v/>
      </c>
      <c r="X24">
        <f>HYPERLINK("https://klasma.github.io/Logging_0763/tillsyn/A 34928-2025 tillsynsbegäran.docx", "A 34928-2025")</f>
        <v/>
      </c>
      <c r="Y24">
        <f>HYPERLINK("https://klasma.github.io/Logging_0763/tillsynsmail/A 34928-2025 tillsynsbegäran mail.docx", "A 34928-2025")</f>
        <v/>
      </c>
    </row>
    <row r="25" ht="15" customHeight="1">
      <c r="A25" t="inlineStr">
        <is>
          <t>A 42487-2024</t>
        </is>
      </c>
      <c r="B25" s="1" t="n">
        <v>45565.49403935186</v>
      </c>
      <c r="C25" s="1" t="n">
        <v>46132</v>
      </c>
      <c r="D25" t="inlineStr">
        <is>
          <t>KRONOBERGS LÄN</t>
        </is>
      </c>
      <c r="E25" t="inlineStr">
        <is>
          <t>TINGSRYD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HYPERLINK("https://klasma.github.io/Logging_0763/artfynd/A 42487-2024 artfynd.xlsx", "A 42487-2024")</f>
        <v/>
      </c>
      <c r="T25">
        <f>HYPERLINK("https://klasma.github.io/Logging_0763/kartor/A 42487-2024 karta.png", "A 42487-2024")</f>
        <v/>
      </c>
      <c r="V25">
        <f>HYPERLINK("https://klasma.github.io/Logging_0763/klagomål/A 42487-2024 FSC-klagomål.docx", "A 42487-2024")</f>
        <v/>
      </c>
      <c r="W25">
        <f>HYPERLINK("https://klasma.github.io/Logging_0763/klagomålsmail/A 42487-2024 FSC-klagomål mail.docx", "A 42487-2024")</f>
        <v/>
      </c>
      <c r="X25">
        <f>HYPERLINK("https://klasma.github.io/Logging_0763/tillsyn/A 42487-2024 tillsynsbegäran.docx", "A 42487-2024")</f>
        <v/>
      </c>
      <c r="Y25">
        <f>HYPERLINK("https://klasma.github.io/Logging_0763/tillsynsmail/A 42487-2024 tillsynsbegäran mail.docx", "A 42487-2024")</f>
        <v/>
      </c>
      <c r="Z25">
        <f>HYPERLINK("https://klasma.github.io/Logging_0763/fåglar/A 42487-2024 prioriterade fågelarter.docx", "A 42487-2024")</f>
        <v/>
      </c>
    </row>
    <row r="26" ht="15" customHeight="1">
      <c r="A26" t="inlineStr">
        <is>
          <t>A 58629-2021</t>
        </is>
      </c>
      <c r="B26" s="1" t="n">
        <v>44489</v>
      </c>
      <c r="C26" s="1" t="n">
        <v>46132</v>
      </c>
      <c r="D26" t="inlineStr">
        <is>
          <t>KRONOBERGS LÄN</t>
        </is>
      </c>
      <c r="E26" t="inlineStr">
        <is>
          <t>TINGSRYD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Kavelhirs</t>
        </is>
      </c>
      <c r="S26">
        <f>HYPERLINK("https://klasma.github.io/Logging_0763/artfynd/A 58629-2021 artfynd.xlsx", "A 58629-2021")</f>
        <v/>
      </c>
      <c r="T26">
        <f>HYPERLINK("https://klasma.github.io/Logging_0763/kartor/A 58629-2021 karta.png", "A 58629-2021")</f>
        <v/>
      </c>
      <c r="V26">
        <f>HYPERLINK("https://klasma.github.io/Logging_0763/klagomål/A 58629-2021 FSC-klagomål.docx", "A 58629-2021")</f>
        <v/>
      </c>
      <c r="W26">
        <f>HYPERLINK("https://klasma.github.io/Logging_0763/klagomålsmail/A 58629-2021 FSC-klagomål mail.docx", "A 58629-2021")</f>
        <v/>
      </c>
      <c r="X26">
        <f>HYPERLINK("https://klasma.github.io/Logging_0763/tillsyn/A 58629-2021 tillsynsbegäran.docx", "A 58629-2021")</f>
        <v/>
      </c>
      <c r="Y26">
        <f>HYPERLINK("https://klasma.github.io/Logging_0763/tillsynsmail/A 58629-2021 tillsynsbegäran mail.docx", "A 58629-2021")</f>
        <v/>
      </c>
    </row>
    <row r="27" ht="15" customHeight="1">
      <c r="A27" t="inlineStr">
        <is>
          <t>A 38523-2024</t>
        </is>
      </c>
      <c r="B27" s="1" t="n">
        <v>45546.56554398148</v>
      </c>
      <c r="C27" s="1" t="n">
        <v>46132</v>
      </c>
      <c r="D27" t="inlineStr">
        <is>
          <t>KRONOBERGS LÄN</t>
        </is>
      </c>
      <c r="E27" t="inlineStr">
        <is>
          <t>TINGSRYD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HYPERLINK("https://klasma.github.io/Logging_0763/artfynd/A 38523-2024 artfynd.xlsx", "A 38523-2024")</f>
        <v/>
      </c>
      <c r="T27">
        <f>HYPERLINK("https://klasma.github.io/Logging_0763/kartor/A 38523-2024 karta.png", "A 38523-2024")</f>
        <v/>
      </c>
      <c r="V27">
        <f>HYPERLINK("https://klasma.github.io/Logging_0763/klagomål/A 38523-2024 FSC-klagomål.docx", "A 38523-2024")</f>
        <v/>
      </c>
      <c r="W27">
        <f>HYPERLINK("https://klasma.github.io/Logging_0763/klagomålsmail/A 38523-2024 FSC-klagomål mail.docx", "A 38523-2024")</f>
        <v/>
      </c>
      <c r="X27">
        <f>HYPERLINK("https://klasma.github.io/Logging_0763/tillsyn/A 38523-2024 tillsynsbegäran.docx", "A 38523-2024")</f>
        <v/>
      </c>
      <c r="Y27">
        <f>HYPERLINK("https://klasma.github.io/Logging_0763/tillsynsmail/A 38523-2024 tillsynsbegäran mail.docx", "A 38523-2024")</f>
        <v/>
      </c>
    </row>
    <row r="28" ht="15" customHeight="1">
      <c r="A28" t="inlineStr">
        <is>
          <t>A 13604-2025</t>
        </is>
      </c>
      <c r="B28" s="1" t="n">
        <v>45736</v>
      </c>
      <c r="C28" s="1" t="n">
        <v>46132</v>
      </c>
      <c r="D28" t="inlineStr">
        <is>
          <t>KRONOBERGS LÄN</t>
        </is>
      </c>
      <c r="E28" t="inlineStr">
        <is>
          <t>TINGSRYD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Barkticka</t>
        </is>
      </c>
      <c r="S28">
        <f>HYPERLINK("https://klasma.github.io/Logging_0763/artfynd/A 13604-2025 artfynd.xlsx", "A 13604-2025")</f>
        <v/>
      </c>
      <c r="T28">
        <f>HYPERLINK("https://klasma.github.io/Logging_0763/kartor/A 13604-2025 karta.png", "A 13604-2025")</f>
        <v/>
      </c>
      <c r="V28">
        <f>HYPERLINK("https://klasma.github.io/Logging_0763/klagomål/A 13604-2025 FSC-klagomål.docx", "A 13604-2025")</f>
        <v/>
      </c>
      <c r="W28">
        <f>HYPERLINK("https://klasma.github.io/Logging_0763/klagomålsmail/A 13604-2025 FSC-klagomål mail.docx", "A 13604-2025")</f>
        <v/>
      </c>
      <c r="X28">
        <f>HYPERLINK("https://klasma.github.io/Logging_0763/tillsyn/A 13604-2025 tillsynsbegäran.docx", "A 13604-2025")</f>
        <v/>
      </c>
      <c r="Y28">
        <f>HYPERLINK("https://klasma.github.io/Logging_0763/tillsynsmail/A 13604-2025 tillsynsbegäran mail.docx", "A 13604-2025")</f>
        <v/>
      </c>
    </row>
    <row r="29" ht="15" customHeight="1">
      <c r="A29" t="inlineStr">
        <is>
          <t>A 3041-2022</t>
        </is>
      </c>
      <c r="B29" s="1" t="n">
        <v>44582</v>
      </c>
      <c r="C29" s="1" t="n">
        <v>46132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HYPERLINK("https://klasma.github.io/Logging_0763/artfynd/A 3041-2022 artfynd.xlsx", "A 3041-2022")</f>
        <v/>
      </c>
      <c r="T29">
        <f>HYPERLINK("https://klasma.github.io/Logging_0763/kartor/A 3041-2022 karta.png", "A 3041-2022")</f>
        <v/>
      </c>
      <c r="V29">
        <f>HYPERLINK("https://klasma.github.io/Logging_0763/klagomål/A 3041-2022 FSC-klagomål.docx", "A 3041-2022")</f>
        <v/>
      </c>
      <c r="W29">
        <f>HYPERLINK("https://klasma.github.io/Logging_0763/klagomålsmail/A 3041-2022 FSC-klagomål mail.docx", "A 3041-2022")</f>
        <v/>
      </c>
      <c r="X29">
        <f>HYPERLINK("https://klasma.github.io/Logging_0763/tillsyn/A 3041-2022 tillsynsbegäran.docx", "A 3041-2022")</f>
        <v/>
      </c>
      <c r="Y29">
        <f>HYPERLINK("https://klasma.github.io/Logging_0763/tillsynsmail/A 3041-2022 tillsynsbegäran mail.docx", "A 3041-2022")</f>
        <v/>
      </c>
      <c r="Z29">
        <f>HYPERLINK("https://klasma.github.io/Logging_0763/fåglar/A 3041-2022 prioriterade fågelarter.docx", "A 3041-2022")</f>
        <v/>
      </c>
    </row>
    <row r="30" ht="15" customHeight="1">
      <c r="A30" t="inlineStr">
        <is>
          <t>A 43004-2023</t>
        </is>
      </c>
      <c r="B30" s="1" t="n">
        <v>45182</v>
      </c>
      <c r="C30" s="1" t="n">
        <v>46132</v>
      </c>
      <c r="D30" t="inlineStr">
        <is>
          <t>KRONOBERGS LÄN</t>
        </is>
      </c>
      <c r="E30" t="inlineStr">
        <is>
          <t>TINGSRYD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HYPERLINK("https://klasma.github.io/Logging_0763/artfynd/A 43004-2023 artfynd.xlsx", "A 43004-2023")</f>
        <v/>
      </c>
      <c r="T30">
        <f>HYPERLINK("https://klasma.github.io/Logging_0763/kartor/A 43004-2023 karta.png", "A 43004-2023")</f>
        <v/>
      </c>
      <c r="V30">
        <f>HYPERLINK("https://klasma.github.io/Logging_0763/klagomål/A 43004-2023 FSC-klagomål.docx", "A 43004-2023")</f>
        <v/>
      </c>
      <c r="W30">
        <f>HYPERLINK("https://klasma.github.io/Logging_0763/klagomålsmail/A 43004-2023 FSC-klagomål mail.docx", "A 43004-2023")</f>
        <v/>
      </c>
      <c r="X30">
        <f>HYPERLINK("https://klasma.github.io/Logging_0763/tillsyn/A 43004-2023 tillsynsbegäran.docx", "A 43004-2023")</f>
        <v/>
      </c>
      <c r="Y30">
        <f>HYPERLINK("https://klasma.github.io/Logging_0763/tillsynsmail/A 43004-2023 tillsynsbegäran mail.docx", "A 43004-2023")</f>
        <v/>
      </c>
    </row>
    <row r="31" ht="15" customHeight="1">
      <c r="A31" t="inlineStr">
        <is>
          <t>A 12137-2026</t>
        </is>
      </c>
      <c r="B31" s="1" t="n">
        <v>46086.56346064815</v>
      </c>
      <c r="C31" s="1" t="n">
        <v>46132</v>
      </c>
      <c r="D31" t="inlineStr">
        <is>
          <t>KRONOBERGS LÄN</t>
        </is>
      </c>
      <c r="E31" t="inlineStr">
        <is>
          <t>TINGSRYD</t>
        </is>
      </c>
      <c r="G31" t="n">
        <v>1.9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Backsippa</t>
        </is>
      </c>
      <c r="S31">
        <f>HYPERLINK("https://klasma.github.io/Logging_0763/artfynd/A 12137-2026 artfynd.xlsx", "A 12137-2026")</f>
        <v/>
      </c>
      <c r="T31">
        <f>HYPERLINK("https://klasma.github.io/Logging_0763/kartor/A 12137-2026 karta.png", "A 12137-2026")</f>
        <v/>
      </c>
      <c r="V31">
        <f>HYPERLINK("https://klasma.github.io/Logging_0763/klagomål/A 12137-2026 FSC-klagomål.docx", "A 12137-2026")</f>
        <v/>
      </c>
      <c r="W31">
        <f>HYPERLINK("https://klasma.github.io/Logging_0763/klagomålsmail/A 12137-2026 FSC-klagomål mail.docx", "A 12137-2026")</f>
        <v/>
      </c>
      <c r="X31">
        <f>HYPERLINK("https://klasma.github.io/Logging_0763/tillsyn/A 12137-2026 tillsynsbegäran.docx", "A 12137-2026")</f>
        <v/>
      </c>
      <c r="Y31">
        <f>HYPERLINK("https://klasma.github.io/Logging_0763/tillsynsmail/A 12137-2026 tillsynsbegäran mail.docx", "A 12137-2026")</f>
        <v/>
      </c>
    </row>
    <row r="32" ht="15" customHeight="1">
      <c r="A32" t="inlineStr">
        <is>
          <t>A 16141-2024</t>
        </is>
      </c>
      <c r="B32" s="1" t="n">
        <v>45406.55770833333</v>
      </c>
      <c r="C32" s="1" t="n">
        <v>46132</v>
      </c>
      <c r="D32" t="inlineStr">
        <is>
          <t>KRONOBERGS LÄN</t>
        </is>
      </c>
      <c r="E32" t="inlineStr">
        <is>
          <t>TINGSRYD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HYPERLINK("https://klasma.github.io/Logging_0763/artfynd/A 16141-2024 artfynd.xlsx", "A 16141-2024")</f>
        <v/>
      </c>
      <c r="T32">
        <f>HYPERLINK("https://klasma.github.io/Logging_0763/kartor/A 16141-2024 karta.png", "A 16141-2024")</f>
        <v/>
      </c>
      <c r="V32">
        <f>HYPERLINK("https://klasma.github.io/Logging_0763/klagomål/A 16141-2024 FSC-klagomål.docx", "A 16141-2024")</f>
        <v/>
      </c>
      <c r="W32">
        <f>HYPERLINK("https://klasma.github.io/Logging_0763/klagomålsmail/A 16141-2024 FSC-klagomål mail.docx", "A 16141-2024")</f>
        <v/>
      </c>
      <c r="X32">
        <f>HYPERLINK("https://klasma.github.io/Logging_0763/tillsyn/A 16141-2024 tillsynsbegäran.docx", "A 16141-2024")</f>
        <v/>
      </c>
      <c r="Y32">
        <f>HYPERLINK("https://klasma.github.io/Logging_0763/tillsynsmail/A 16141-2024 tillsynsbegäran mail.docx", "A 16141-2024")</f>
        <v/>
      </c>
    </row>
    <row r="33" ht="15" customHeight="1">
      <c r="A33" t="inlineStr">
        <is>
          <t>A 9825-2023</t>
        </is>
      </c>
      <c r="B33" s="1" t="n">
        <v>44984</v>
      </c>
      <c r="C33" s="1" t="n">
        <v>46132</v>
      </c>
      <c r="D33" t="inlineStr">
        <is>
          <t>KRONOBERGS LÄN</t>
        </is>
      </c>
      <c r="E33" t="inlineStr">
        <is>
          <t>TINGSRYD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HYPERLINK("https://klasma.github.io/Logging_0763/artfynd/A 9825-2023 artfynd.xlsx", "A 9825-2023")</f>
        <v/>
      </c>
      <c r="T33">
        <f>HYPERLINK("https://klasma.github.io/Logging_0763/kartor/A 9825-2023 karta.png", "A 9825-2023")</f>
        <v/>
      </c>
      <c r="V33">
        <f>HYPERLINK("https://klasma.github.io/Logging_0763/klagomål/A 9825-2023 FSC-klagomål.docx", "A 9825-2023")</f>
        <v/>
      </c>
      <c r="W33">
        <f>HYPERLINK("https://klasma.github.io/Logging_0763/klagomålsmail/A 9825-2023 FSC-klagomål mail.docx", "A 9825-2023")</f>
        <v/>
      </c>
      <c r="X33">
        <f>HYPERLINK("https://klasma.github.io/Logging_0763/tillsyn/A 9825-2023 tillsynsbegäran.docx", "A 9825-2023")</f>
        <v/>
      </c>
      <c r="Y33">
        <f>HYPERLINK("https://klasma.github.io/Logging_0763/tillsynsmail/A 9825-2023 tillsynsbegäran mail.docx", "A 9825-2023")</f>
        <v/>
      </c>
    </row>
    <row r="34" ht="15" customHeight="1">
      <c r="A34" t="inlineStr">
        <is>
          <t>A 6548-2024</t>
        </is>
      </c>
      <c r="B34" s="1" t="n">
        <v>45341</v>
      </c>
      <c r="C34" s="1" t="n">
        <v>46132</v>
      </c>
      <c r="D34" t="inlineStr">
        <is>
          <t>KRONOBERGS LÄN</t>
        </is>
      </c>
      <c r="E34" t="inlineStr">
        <is>
          <t>TINGSRYD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6548-2024 artfynd.xlsx", "A 6548-2024")</f>
        <v/>
      </c>
      <c r="T34">
        <f>HYPERLINK("https://klasma.github.io/Logging_0763/kartor/A 6548-2024 karta.png", "A 6548-2024")</f>
        <v/>
      </c>
      <c r="V34">
        <f>HYPERLINK("https://klasma.github.io/Logging_0763/klagomål/A 6548-2024 FSC-klagomål.docx", "A 6548-2024")</f>
        <v/>
      </c>
      <c r="W34">
        <f>HYPERLINK("https://klasma.github.io/Logging_0763/klagomålsmail/A 6548-2024 FSC-klagomål mail.docx", "A 6548-2024")</f>
        <v/>
      </c>
      <c r="X34">
        <f>HYPERLINK("https://klasma.github.io/Logging_0763/tillsyn/A 6548-2024 tillsynsbegäran.docx", "A 6548-2024")</f>
        <v/>
      </c>
      <c r="Y34">
        <f>HYPERLINK("https://klasma.github.io/Logging_0763/tillsynsmail/A 6548-2024 tillsynsbegäran mail.docx", "A 6548-2024")</f>
        <v/>
      </c>
    </row>
    <row r="35" ht="15" customHeight="1">
      <c r="A35" t="inlineStr">
        <is>
          <t>A 3863-2024</t>
        </is>
      </c>
      <c r="B35" s="1" t="n">
        <v>45322</v>
      </c>
      <c r="C35" s="1" t="n">
        <v>46132</v>
      </c>
      <c r="D35" t="inlineStr">
        <is>
          <t>KRONOBERGS LÄN</t>
        </is>
      </c>
      <c r="E35" t="inlineStr">
        <is>
          <t>TINGSRYD</t>
        </is>
      </c>
      <c r="F35" t="inlineStr">
        <is>
          <t>Övriga Aktiebolag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Safsa</t>
        </is>
      </c>
      <c r="S35">
        <f>HYPERLINK("https://klasma.github.io/Logging_0763/artfynd/A 3863-2024 artfynd.xlsx", "A 3863-2024")</f>
        <v/>
      </c>
      <c r="T35">
        <f>HYPERLINK("https://klasma.github.io/Logging_0763/kartor/A 3863-2024 karta.png", "A 3863-2024")</f>
        <v/>
      </c>
      <c r="V35">
        <f>HYPERLINK("https://klasma.github.io/Logging_0763/klagomål/A 3863-2024 FSC-klagomål.docx", "A 3863-2024")</f>
        <v/>
      </c>
      <c r="W35">
        <f>HYPERLINK("https://klasma.github.io/Logging_0763/klagomålsmail/A 3863-2024 FSC-klagomål mail.docx", "A 3863-2024")</f>
        <v/>
      </c>
      <c r="X35">
        <f>HYPERLINK("https://klasma.github.io/Logging_0763/tillsyn/A 3863-2024 tillsynsbegäran.docx", "A 3863-2024")</f>
        <v/>
      </c>
      <c r="Y35">
        <f>HYPERLINK("https://klasma.github.io/Logging_0763/tillsynsmail/A 3863-2024 tillsynsbegäran mail.docx", "A 3863-2024")</f>
        <v/>
      </c>
    </row>
    <row r="36" ht="15" customHeight="1">
      <c r="A36" t="inlineStr">
        <is>
          <t>A 55602-2022</t>
        </is>
      </c>
      <c r="B36" s="1" t="n">
        <v>44888.43023148148</v>
      </c>
      <c r="C36" s="1" t="n">
        <v>46132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46132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46132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44896-2022</t>
        </is>
      </c>
      <c r="B39" s="1" t="n">
        <v>44841.49872685185</v>
      </c>
      <c r="C39" s="1" t="n">
        <v>46132</v>
      </c>
      <c r="D39" t="inlineStr">
        <is>
          <t>KRONOBERGS LÄN</t>
        </is>
      </c>
      <c r="E39" t="inlineStr">
        <is>
          <t>TINGSRYD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53489-2022</t>
        </is>
      </c>
      <c r="B40" s="1" t="n">
        <v>44875</v>
      </c>
      <c r="C40" s="1" t="n">
        <v>46132</v>
      </c>
      <c r="D40" t="inlineStr">
        <is>
          <t>KRONOBERGS LÄN</t>
        </is>
      </c>
      <c r="E40" t="inlineStr">
        <is>
          <t>TINGSRYD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9863-2022</t>
        </is>
      </c>
      <c r="B41" s="1" t="n">
        <v>44620.55424768518</v>
      </c>
      <c r="C41" s="1" t="n">
        <v>46132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9868-2022</t>
        </is>
      </c>
      <c r="B42" s="1" t="n">
        <v>44620.56054398148</v>
      </c>
      <c r="C42" s="1" t="n">
        <v>46132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25399-2022</t>
        </is>
      </c>
      <c r="B43" s="1" t="n">
        <v>44732</v>
      </c>
      <c r="C43" s="1" t="n">
        <v>46132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38460-2022</t>
        </is>
      </c>
      <c r="B44" s="1" t="n">
        <v>44813</v>
      </c>
      <c r="C44" s="1" t="n">
        <v>46132</v>
      </c>
      <c r="D44" t="inlineStr">
        <is>
          <t>KRONOBERGS LÄN</t>
        </is>
      </c>
      <c r="E44" t="inlineStr">
        <is>
          <t>TINGSRYD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49033-2021</t>
        </is>
      </c>
      <c r="B45" s="1" t="n">
        <v>44453.56091435185</v>
      </c>
      <c r="C45" s="1" t="n">
        <v>46132</v>
      </c>
      <c r="D45" t="inlineStr">
        <is>
          <t>KRONOBERGS LÄN</t>
        </is>
      </c>
      <c r="E45" t="inlineStr">
        <is>
          <t>TINGSRYD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46132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46132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46132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46132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46132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48639-2021</t>
        </is>
      </c>
      <c r="B51" s="1" t="n">
        <v>44452</v>
      </c>
      <c r="C51" s="1" t="n">
        <v>46132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46132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46132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46132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46132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46132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46132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46132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23160-2021</t>
        </is>
      </c>
      <c r="B59" s="1" t="n">
        <v>44332</v>
      </c>
      <c r="C59" s="1" t="n">
        <v>46132</v>
      </c>
      <c r="D59" t="inlineStr">
        <is>
          <t>KRONOBERGS LÄN</t>
        </is>
      </c>
      <c r="E59" t="inlineStr">
        <is>
          <t>TINGSRYD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46132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46132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46132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67593-2021</t>
        </is>
      </c>
      <c r="B63" s="1" t="n">
        <v>44524.60759259259</v>
      </c>
      <c r="C63" s="1" t="n">
        <v>46132</v>
      </c>
      <c r="D63" t="inlineStr">
        <is>
          <t>KRONOBERGS LÄN</t>
        </is>
      </c>
      <c r="E63" t="inlineStr">
        <is>
          <t>TINGSRYD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46132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38461-2022</t>
        </is>
      </c>
      <c r="B65" s="1" t="n">
        <v>44813</v>
      </c>
      <c r="C65" s="1" t="n">
        <v>46132</v>
      </c>
      <c r="D65" t="inlineStr">
        <is>
          <t>KRONOBERGS LÄN</t>
        </is>
      </c>
      <c r="E65" t="inlineStr">
        <is>
          <t>TINGSRYD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46132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46132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46132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2029-2022</t>
        </is>
      </c>
      <c r="B69" s="1" t="n">
        <v>44575</v>
      </c>
      <c r="C69" s="1" t="n">
        <v>46132</v>
      </c>
      <c r="D69" t="inlineStr">
        <is>
          <t>KRONOBERGS LÄN</t>
        </is>
      </c>
      <c r="E69" t="inlineStr">
        <is>
          <t>TINGSRYD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46132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46132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46132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46132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46132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46132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46132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46132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46132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46132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46132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46132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46132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46132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46132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46132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46132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46132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46132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46132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46132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46132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46132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46132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46132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46132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44722.47052083333</v>
      </c>
      <c r="C96" s="1" t="n">
        <v>46132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50819-2022</t>
        </is>
      </c>
      <c r="B97" s="1" t="n">
        <v>44867.48452546296</v>
      </c>
      <c r="C97" s="1" t="n">
        <v>46132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64462-2021</t>
        </is>
      </c>
      <c r="B98" s="1" t="n">
        <v>44511</v>
      </c>
      <c r="C98" s="1" t="n">
        <v>46132</v>
      </c>
      <c r="D98" t="inlineStr">
        <is>
          <t>KRONOBERGS LÄN</t>
        </is>
      </c>
      <c r="E98" t="inlineStr">
        <is>
          <t>TINGSRYD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50994-2021</t>
        </is>
      </c>
      <c r="B99" s="1" t="n">
        <v>44460</v>
      </c>
      <c r="C99" s="1" t="n">
        <v>46132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38570-2021</t>
        </is>
      </c>
      <c r="B100" s="1" t="n">
        <v>44407</v>
      </c>
      <c r="C100" s="1" t="n">
        <v>46132</v>
      </c>
      <c r="D100" t="inlineStr">
        <is>
          <t>KRONOBERGS LÄN</t>
        </is>
      </c>
      <c r="E100" t="inlineStr">
        <is>
          <t>TINGSRYD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23129-2021</t>
        </is>
      </c>
      <c r="B101" s="1" t="n">
        <v>44330.85600694444</v>
      </c>
      <c r="C101" s="1" t="n">
        <v>46132</v>
      </c>
      <c r="D101" t="inlineStr">
        <is>
          <t>KRONOBERGS LÄN</t>
        </is>
      </c>
      <c r="E101" t="inlineStr">
        <is>
          <t>TINGSRYD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44803-2022</t>
        </is>
      </c>
      <c r="B102" s="1" t="n">
        <v>44839</v>
      </c>
      <c r="C102" s="1" t="n">
        <v>46132</v>
      </c>
      <c r="D102" t="inlineStr">
        <is>
          <t>KRONOBERGS LÄN</t>
        </is>
      </c>
      <c r="E102" t="inlineStr">
        <is>
          <t>TINGSRYD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53405-2022</t>
        </is>
      </c>
      <c r="B103" s="1" t="n">
        <v>44879</v>
      </c>
      <c r="C103" s="1" t="n">
        <v>46132</v>
      </c>
      <c r="D103" t="inlineStr">
        <is>
          <t>KRONOBERGS LÄN</t>
        </is>
      </c>
      <c r="E103" t="inlineStr">
        <is>
          <t>TINGSRYD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46132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46132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46132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52859-2022</t>
        </is>
      </c>
      <c r="B107" s="1" t="n">
        <v>44875.48474537037</v>
      </c>
      <c r="C107" s="1" t="n">
        <v>46132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47399-2021</t>
        </is>
      </c>
      <c r="B108" s="1" t="n">
        <v>44447</v>
      </c>
      <c r="C108" s="1" t="n">
        <v>46132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69768-2021</t>
        </is>
      </c>
      <c r="B109" s="1" t="n">
        <v>44532</v>
      </c>
      <c r="C109" s="1" t="n">
        <v>46132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49683-2021</t>
        </is>
      </c>
      <c r="B110" s="1" t="n">
        <v>44455</v>
      </c>
      <c r="C110" s="1" t="n">
        <v>46132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50335-2021</t>
        </is>
      </c>
      <c r="B111" s="1" t="n">
        <v>44459.41479166667</v>
      </c>
      <c r="C111" s="1" t="n">
        <v>46132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53352-2022</t>
        </is>
      </c>
      <c r="B112" s="1" t="n">
        <v>44879.36677083333</v>
      </c>
      <c r="C112" s="1" t="n">
        <v>46132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5494-2022</t>
        </is>
      </c>
      <c r="B113" s="1" t="n">
        <v>44595.53346064815</v>
      </c>
      <c r="C113" s="1" t="n">
        <v>46132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59721-2021</t>
        </is>
      </c>
      <c r="B114" s="1" t="n">
        <v>44494.42767361111</v>
      </c>
      <c r="C114" s="1" t="n">
        <v>46132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52611-2021</t>
        </is>
      </c>
      <c r="B115" s="1" t="n">
        <v>44466.60142361111</v>
      </c>
      <c r="C115" s="1" t="n">
        <v>46132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50006-2021</t>
        </is>
      </c>
      <c r="B116" s="1" t="n">
        <v>44456.47127314815</v>
      </c>
      <c r="C116" s="1" t="n">
        <v>46132</v>
      </c>
      <c r="D116" t="inlineStr">
        <is>
          <t>KRONOBERGS LÄN</t>
        </is>
      </c>
      <c r="E116" t="inlineStr">
        <is>
          <t>TINGSRYD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31628-2021</t>
        </is>
      </c>
      <c r="B117" s="1" t="n">
        <v>44369.60105324074</v>
      </c>
      <c r="C117" s="1" t="n">
        <v>46132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58781-2021</t>
        </is>
      </c>
      <c r="B118" s="1" t="n">
        <v>44489</v>
      </c>
      <c r="C118" s="1" t="n">
        <v>46132</v>
      </c>
      <c r="D118" t="inlineStr">
        <is>
          <t>KRONOBERGS LÄN</t>
        </is>
      </c>
      <c r="E118" t="inlineStr">
        <is>
          <t>TINGSRYD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33135-2021</t>
        </is>
      </c>
      <c r="B119" s="1" t="n">
        <v>44376</v>
      </c>
      <c r="C119" s="1" t="n">
        <v>46132</v>
      </c>
      <c r="D119" t="inlineStr">
        <is>
          <t>KRONOBERGS LÄN</t>
        </is>
      </c>
      <c r="E119" t="inlineStr">
        <is>
          <t>TINGSRYD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68683-2021</t>
        </is>
      </c>
      <c r="B120" s="1" t="n">
        <v>44529.64541666667</v>
      </c>
      <c r="C120" s="1" t="n">
        <v>46132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13589-2022</t>
        </is>
      </c>
      <c r="B121" s="1" t="n">
        <v>44648</v>
      </c>
      <c r="C121" s="1" t="n">
        <v>46132</v>
      </c>
      <c r="D121" t="inlineStr">
        <is>
          <t>KRONOBERGS LÄN</t>
        </is>
      </c>
      <c r="E121" t="inlineStr">
        <is>
          <t>TINGSRYD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11580-2022</t>
        </is>
      </c>
      <c r="B122" s="1" t="n">
        <v>44631.51841435185</v>
      </c>
      <c r="C122" s="1" t="n">
        <v>46132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35334-2022</t>
        </is>
      </c>
      <c r="B123" s="1" t="n">
        <v>44798</v>
      </c>
      <c r="C123" s="1" t="n">
        <v>46132</v>
      </c>
      <c r="D123" t="inlineStr">
        <is>
          <t>KRONOBERGS LÄN</t>
        </is>
      </c>
      <c r="E123" t="inlineStr">
        <is>
          <t>TINGSRYD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42318-2021</t>
        </is>
      </c>
      <c r="B124" s="1" t="n">
        <v>44427.38479166666</v>
      </c>
      <c r="C124" s="1" t="n">
        <v>46132</v>
      </c>
      <c r="D124" t="inlineStr">
        <is>
          <t>KRONOBERGS LÄN</t>
        </is>
      </c>
      <c r="E124" t="inlineStr">
        <is>
          <t>TINGSRYD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7755-2022</t>
        </is>
      </c>
      <c r="B125" s="1" t="n">
        <v>44608</v>
      </c>
      <c r="C125" s="1" t="n">
        <v>46132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47812-2021</t>
        </is>
      </c>
      <c r="B126" s="1" t="n">
        <v>44448.62255787037</v>
      </c>
      <c r="C126" s="1" t="n">
        <v>46132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47815-2021</t>
        </is>
      </c>
      <c r="B127" s="1" t="n">
        <v>44448.62701388889</v>
      </c>
      <c r="C127" s="1" t="n">
        <v>46132</v>
      </c>
      <c r="D127" t="inlineStr">
        <is>
          <t>KRONOBERGS LÄN</t>
        </is>
      </c>
      <c r="E127" t="inlineStr">
        <is>
          <t>TINGSRYD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39686-2021</t>
        </is>
      </c>
      <c r="B128" s="1" t="n">
        <v>44417</v>
      </c>
      <c r="C128" s="1" t="n">
        <v>46132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56859-2021</t>
        </is>
      </c>
      <c r="B129" s="1" t="n">
        <v>44481</v>
      </c>
      <c r="C129" s="1" t="n">
        <v>46132</v>
      </c>
      <c r="D129" t="inlineStr">
        <is>
          <t>KRONOBERGS LÄN</t>
        </is>
      </c>
      <c r="E129" t="inlineStr">
        <is>
          <t>TINGSRYD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9841-2022</t>
        </is>
      </c>
      <c r="B130" s="1" t="n">
        <v>44620.48642361111</v>
      </c>
      <c r="C130" s="1" t="n">
        <v>46132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9870-2022</t>
        </is>
      </c>
      <c r="B131" s="1" t="n">
        <v>44620.56289351852</v>
      </c>
      <c r="C131" s="1" t="n">
        <v>46132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46132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12187-2022</t>
        </is>
      </c>
      <c r="B133" s="1" t="n">
        <v>44636.91965277777</v>
      </c>
      <c r="C133" s="1" t="n">
        <v>46132</v>
      </c>
      <c r="D133" t="inlineStr">
        <is>
          <t>KRONOBERGS LÄN</t>
        </is>
      </c>
      <c r="E133" t="inlineStr">
        <is>
          <t>TINGSRYD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66548-2021</t>
        </is>
      </c>
      <c r="B134" s="1" t="n">
        <v>44519.39663194444</v>
      </c>
      <c r="C134" s="1" t="n">
        <v>46132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34134-2022</t>
        </is>
      </c>
      <c r="B135" s="1" t="n">
        <v>44791</v>
      </c>
      <c r="C135" s="1" t="n">
        <v>46132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28509-2022</t>
        </is>
      </c>
      <c r="B136" s="1" t="n">
        <v>44748.33731481482</v>
      </c>
      <c r="C136" s="1" t="n">
        <v>46132</v>
      </c>
      <c r="D136" t="inlineStr">
        <is>
          <t>KRONOBERGS LÄN</t>
        </is>
      </c>
      <c r="E136" t="inlineStr">
        <is>
          <t>TINGSRYD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32375-2021</t>
        </is>
      </c>
      <c r="B137" s="1" t="n">
        <v>44371</v>
      </c>
      <c r="C137" s="1" t="n">
        <v>46132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55646-2022</t>
        </is>
      </c>
      <c r="B138" s="1" t="n">
        <v>44888.46783564815</v>
      </c>
      <c r="C138" s="1" t="n">
        <v>46132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23678-2021</t>
        </is>
      </c>
      <c r="B139" s="1" t="n">
        <v>44334.62680555556</v>
      </c>
      <c r="C139" s="1" t="n">
        <v>46132</v>
      </c>
      <c r="D139" t="inlineStr">
        <is>
          <t>KRONOBERGS LÄN</t>
        </is>
      </c>
      <c r="E139" t="inlineStr">
        <is>
          <t>TINGSRYD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40180-2022</t>
        </is>
      </c>
      <c r="B140" s="1" t="n">
        <v>44820</v>
      </c>
      <c r="C140" s="1" t="n">
        <v>46132</v>
      </c>
      <c r="D140" t="inlineStr">
        <is>
          <t>KRONOBERGS LÄN</t>
        </is>
      </c>
      <c r="E140" t="inlineStr">
        <is>
          <t>TINGSRYD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32376-2021</t>
        </is>
      </c>
      <c r="B141" s="1" t="n">
        <v>44371.61570601852</v>
      </c>
      <c r="C141" s="1" t="n">
        <v>46132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52024-2021</t>
        </is>
      </c>
      <c r="B142" s="1" t="n">
        <v>44463.34797453704</v>
      </c>
      <c r="C142" s="1" t="n">
        <v>46132</v>
      </c>
      <c r="D142" t="inlineStr">
        <is>
          <t>KRONOBERGS LÄN</t>
        </is>
      </c>
      <c r="E142" t="inlineStr">
        <is>
          <t>TINGSRYD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47807-2021</t>
        </is>
      </c>
      <c r="B143" s="1" t="n">
        <v>44448.61657407408</v>
      </c>
      <c r="C143" s="1" t="n">
        <v>46132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54917-2021</t>
        </is>
      </c>
      <c r="B144" s="1" t="n">
        <v>44474</v>
      </c>
      <c r="C144" s="1" t="n">
        <v>46132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59719-2021</t>
        </is>
      </c>
      <c r="B145" s="1" t="n">
        <v>44494</v>
      </c>
      <c r="C145" s="1" t="n">
        <v>46132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63820-2021</t>
        </is>
      </c>
      <c r="B146" s="1" t="n">
        <v>44509.57108796296</v>
      </c>
      <c r="C146" s="1" t="n">
        <v>46132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69951-2021</t>
        </is>
      </c>
      <c r="B147" s="1" t="n">
        <v>44533.36805555555</v>
      </c>
      <c r="C147" s="1" t="n">
        <v>46132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66829-2021</t>
        </is>
      </c>
      <c r="B148" s="1" t="n">
        <v>44522.40835648148</v>
      </c>
      <c r="C148" s="1" t="n">
        <v>46132</v>
      </c>
      <c r="D148" t="inlineStr">
        <is>
          <t>KRONOBERGS LÄN</t>
        </is>
      </c>
      <c r="E148" t="inlineStr">
        <is>
          <t>TINGSRYD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23830-2022</t>
        </is>
      </c>
      <c r="B149" s="1" t="n">
        <v>44722.49434027778</v>
      </c>
      <c r="C149" s="1" t="n">
        <v>46132</v>
      </c>
      <c r="D149" t="inlineStr">
        <is>
          <t>KRONOBERGS LÄN</t>
        </is>
      </c>
      <c r="E149" t="inlineStr">
        <is>
          <t>TINGSRYD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46078-2021</t>
        </is>
      </c>
      <c r="B150" s="1" t="n">
        <v>44441</v>
      </c>
      <c r="C150" s="1" t="n">
        <v>46132</v>
      </c>
      <c r="D150" t="inlineStr">
        <is>
          <t>KRONOBERGS LÄN</t>
        </is>
      </c>
      <c r="E150" t="inlineStr">
        <is>
          <t>TINGSRYD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39755-2021</t>
        </is>
      </c>
      <c r="B151" s="1" t="n">
        <v>44417</v>
      </c>
      <c r="C151" s="1" t="n">
        <v>46132</v>
      </c>
      <c r="D151" t="inlineStr">
        <is>
          <t>KRONOBERGS LÄN</t>
        </is>
      </c>
      <c r="E151" t="inlineStr">
        <is>
          <t>TINGSRYD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18404-2022</t>
        </is>
      </c>
      <c r="B152" s="1" t="n">
        <v>44685</v>
      </c>
      <c r="C152" s="1" t="n">
        <v>46132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53317-2021</t>
        </is>
      </c>
      <c r="B153" s="1" t="n">
        <v>44468</v>
      </c>
      <c r="C153" s="1" t="n">
        <v>46132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20114-2022</t>
        </is>
      </c>
      <c r="B154" s="1" t="n">
        <v>44698</v>
      </c>
      <c r="C154" s="1" t="n">
        <v>46132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17689-2022</t>
        </is>
      </c>
      <c r="B155" s="1" t="n">
        <v>44680.58664351852</v>
      </c>
      <c r="C155" s="1" t="n">
        <v>46132</v>
      </c>
      <c r="D155" t="inlineStr">
        <is>
          <t>KRONOBERGS LÄN</t>
        </is>
      </c>
      <c r="E155" t="inlineStr">
        <is>
          <t>TINGSRYD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11628-2022</t>
        </is>
      </c>
      <c r="B156" s="1" t="n">
        <v>44631.64724537037</v>
      </c>
      <c r="C156" s="1" t="n">
        <v>46132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67158-2021</t>
        </is>
      </c>
      <c r="B157" s="1" t="n">
        <v>44523</v>
      </c>
      <c r="C157" s="1" t="n">
        <v>46132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28968-2022</t>
        </is>
      </c>
      <c r="B158" s="1" t="n">
        <v>44749.62980324074</v>
      </c>
      <c r="C158" s="1" t="n">
        <v>46132</v>
      </c>
      <c r="D158" t="inlineStr">
        <is>
          <t>KRONOBERGS LÄN</t>
        </is>
      </c>
      <c r="E158" t="inlineStr">
        <is>
          <t>TINGSRYD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21938-2022</t>
        </is>
      </c>
      <c r="B159" s="1" t="n">
        <v>44711.4805324074</v>
      </c>
      <c r="C159" s="1" t="n">
        <v>46132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25579-2021</t>
        </is>
      </c>
      <c r="B160" s="1" t="n">
        <v>44343</v>
      </c>
      <c r="C160" s="1" t="n">
        <v>46132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29517-2022</t>
        </is>
      </c>
      <c r="B161" s="1" t="n">
        <v>44753.66400462963</v>
      </c>
      <c r="C161" s="1" t="n">
        <v>46132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71392-2021</t>
        </is>
      </c>
      <c r="B162" s="1" t="n">
        <v>44540.34863425926</v>
      </c>
      <c r="C162" s="1" t="n">
        <v>46132</v>
      </c>
      <c r="D162" t="inlineStr">
        <is>
          <t>KRONOBERGS LÄN</t>
        </is>
      </c>
      <c r="E162" t="inlineStr">
        <is>
          <t>TINGSRYD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40620-2021</t>
        </is>
      </c>
      <c r="B163" s="1" t="n">
        <v>44420</v>
      </c>
      <c r="C163" s="1" t="n">
        <v>46132</v>
      </c>
      <c r="D163" t="inlineStr">
        <is>
          <t>KRONOBERGS LÄN</t>
        </is>
      </c>
      <c r="E163" t="inlineStr">
        <is>
          <t>TINGSRYD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16931-2022</t>
        </is>
      </c>
      <c r="B164" s="1" t="n">
        <v>44676.45506944445</v>
      </c>
      <c r="C164" s="1" t="n">
        <v>46132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42654-2021</t>
        </is>
      </c>
      <c r="B165" s="1" t="n">
        <v>44428</v>
      </c>
      <c r="C165" s="1" t="n">
        <v>46132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39419-2021</t>
        </is>
      </c>
      <c r="B166" s="1" t="n">
        <v>44414</v>
      </c>
      <c r="C166" s="1" t="n">
        <v>46132</v>
      </c>
      <c r="D166" t="inlineStr">
        <is>
          <t>KRONOBERGS LÄN</t>
        </is>
      </c>
      <c r="E166" t="inlineStr">
        <is>
          <t>TINGSRYD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9816-2022</t>
        </is>
      </c>
      <c r="B167" s="1" t="n">
        <v>44620</v>
      </c>
      <c r="C167" s="1" t="n">
        <v>46132</v>
      </c>
      <c r="D167" t="inlineStr">
        <is>
          <t>KRONOBERGS LÄN</t>
        </is>
      </c>
      <c r="E167" t="inlineStr">
        <is>
          <t>TINGSRYD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46519-2021</t>
        </is>
      </c>
      <c r="B168" s="1" t="n">
        <v>44445</v>
      </c>
      <c r="C168" s="1" t="n">
        <v>46132</v>
      </c>
      <c r="D168" t="inlineStr">
        <is>
          <t>KRONOBERGS LÄN</t>
        </is>
      </c>
      <c r="E168" t="inlineStr">
        <is>
          <t>TINGSRYD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71397-2021</t>
        </is>
      </c>
      <c r="B169" s="1" t="n">
        <v>44540.35796296296</v>
      </c>
      <c r="C169" s="1" t="n">
        <v>46132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53759-2022</t>
        </is>
      </c>
      <c r="B170" s="1" t="n">
        <v>44875</v>
      </c>
      <c r="C170" s="1" t="n">
        <v>46132</v>
      </c>
      <c r="D170" t="inlineStr">
        <is>
          <t>KRONOBERGS LÄN</t>
        </is>
      </c>
      <c r="E170" t="inlineStr">
        <is>
          <t>TINGSRYD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20143-2022</t>
        </is>
      </c>
      <c r="B171" s="1" t="n">
        <v>44698.44061342593</v>
      </c>
      <c r="C171" s="1" t="n">
        <v>46132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18364-2022</t>
        </is>
      </c>
      <c r="B172" s="1" t="n">
        <v>44685.90943287037</v>
      </c>
      <c r="C172" s="1" t="n">
        <v>46132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12626-2022</t>
        </is>
      </c>
      <c r="B173" s="1" t="n">
        <v>44641.41453703704</v>
      </c>
      <c r="C173" s="1" t="n">
        <v>46132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71110-2021</t>
        </is>
      </c>
      <c r="B174" s="1" t="n">
        <v>44539.36767361111</v>
      </c>
      <c r="C174" s="1" t="n">
        <v>46132</v>
      </c>
      <c r="D174" t="inlineStr">
        <is>
          <t>KRONOBERGS LÄN</t>
        </is>
      </c>
      <c r="E174" t="inlineStr">
        <is>
          <t>TINGSRYD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11561-2022</t>
        </is>
      </c>
      <c r="B175" s="1" t="n">
        <v>44631.46165509259</v>
      </c>
      <c r="C175" s="1" t="n">
        <v>46132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67159-2021</t>
        </is>
      </c>
      <c r="B176" s="1" t="n">
        <v>44523.41112268518</v>
      </c>
      <c r="C176" s="1" t="n">
        <v>46132</v>
      </c>
      <c r="D176" t="inlineStr">
        <is>
          <t>KRONOBERGS LÄN</t>
        </is>
      </c>
      <c r="E176" t="inlineStr">
        <is>
          <t>TINGSRYD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40593-2021</t>
        </is>
      </c>
      <c r="B177" s="1" t="n">
        <v>44420</v>
      </c>
      <c r="C177" s="1" t="n">
        <v>46132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32605-2021</t>
        </is>
      </c>
      <c r="B178" s="1" t="n">
        <v>44375.38892361111</v>
      </c>
      <c r="C178" s="1" t="n">
        <v>46132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18621-2021</t>
        </is>
      </c>
      <c r="B179" s="1" t="n">
        <v>44306.65480324074</v>
      </c>
      <c r="C179" s="1" t="n">
        <v>46132</v>
      </c>
      <c r="D179" t="inlineStr">
        <is>
          <t>KRONOBERGS LÄN</t>
        </is>
      </c>
      <c r="E179" t="inlineStr">
        <is>
          <t>TINGSRYD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29450-2022</t>
        </is>
      </c>
      <c r="B180" s="1" t="n">
        <v>44753.5284375</v>
      </c>
      <c r="C180" s="1" t="n">
        <v>46132</v>
      </c>
      <c r="D180" t="inlineStr">
        <is>
          <t>KRONOBERGS LÄN</t>
        </is>
      </c>
      <c r="E180" t="inlineStr">
        <is>
          <t>TINGSRYD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19584-2021</t>
        </is>
      </c>
      <c r="B181" s="1" t="n">
        <v>44312</v>
      </c>
      <c r="C181" s="1" t="n">
        <v>46132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22242-2022</t>
        </is>
      </c>
      <c r="B182" s="1" t="n">
        <v>44712.58903935185</v>
      </c>
      <c r="C182" s="1" t="n">
        <v>46132</v>
      </c>
      <c r="D182" t="inlineStr">
        <is>
          <t>KRONOBERGS LÄN</t>
        </is>
      </c>
      <c r="E182" t="inlineStr">
        <is>
          <t>TINGSRYD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2132-2022</t>
        </is>
      </c>
      <c r="B183" s="1" t="n">
        <v>44578</v>
      </c>
      <c r="C183" s="1" t="n">
        <v>46132</v>
      </c>
      <c r="D183" t="inlineStr">
        <is>
          <t>KRONOBERGS LÄN</t>
        </is>
      </c>
      <c r="E183" t="inlineStr">
        <is>
          <t>TINGSRYD</t>
        </is>
      </c>
      <c r="F183" t="inlineStr">
        <is>
          <t>Övriga Aktiebolag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5683-2022</t>
        </is>
      </c>
      <c r="B184" s="1" t="n">
        <v>44596</v>
      </c>
      <c r="C184" s="1" t="n">
        <v>46132</v>
      </c>
      <c r="D184" t="inlineStr">
        <is>
          <t>KRONOBERGS LÄN</t>
        </is>
      </c>
      <c r="E184" t="inlineStr">
        <is>
          <t>TINGSRYD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10221-2025</t>
        </is>
      </c>
      <c r="B185" s="1" t="n">
        <v>45720.30268518518</v>
      </c>
      <c r="C185" s="1" t="n">
        <v>46132</v>
      </c>
      <c r="D185" t="inlineStr">
        <is>
          <t>KRONOBERGS LÄN</t>
        </is>
      </c>
      <c r="E185" t="inlineStr">
        <is>
          <t>TINGSRYD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9740-2024</t>
        </is>
      </c>
      <c r="B186" s="1" t="n">
        <v>45362</v>
      </c>
      <c r="C186" s="1" t="n">
        <v>46132</v>
      </c>
      <c r="D186" t="inlineStr">
        <is>
          <t>KRONOBERGS LÄN</t>
        </is>
      </c>
      <c r="E186" t="inlineStr">
        <is>
          <t>TINGSRYD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6416-2024</t>
        </is>
      </c>
      <c r="B187" s="1" t="n">
        <v>45338.61513888889</v>
      </c>
      <c r="C187" s="1" t="n">
        <v>46132</v>
      </c>
      <c r="D187" t="inlineStr">
        <is>
          <t>KRONOBERGS LÄN</t>
        </is>
      </c>
      <c r="E187" t="inlineStr">
        <is>
          <t>TINGSRYD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16954-2024</t>
        </is>
      </c>
      <c r="B188" s="1" t="n">
        <v>45411.88930555555</v>
      </c>
      <c r="C188" s="1" t="n">
        <v>46132</v>
      </c>
      <c r="D188" t="inlineStr">
        <is>
          <t>KRONOBERGS LÄN</t>
        </is>
      </c>
      <c r="E188" t="inlineStr">
        <is>
          <t>TINGSRYD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16994-2024</t>
        </is>
      </c>
      <c r="B189" s="1" t="n">
        <v>45412.33927083333</v>
      </c>
      <c r="C189" s="1" t="n">
        <v>46132</v>
      </c>
      <c r="D189" t="inlineStr">
        <is>
          <t>KRONOBERGS LÄN</t>
        </is>
      </c>
      <c r="E189" t="inlineStr">
        <is>
          <t>TINGSRYD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41302-2023</t>
        </is>
      </c>
      <c r="B190" s="1" t="n">
        <v>45173</v>
      </c>
      <c r="C190" s="1" t="n">
        <v>46132</v>
      </c>
      <c r="D190" t="inlineStr">
        <is>
          <t>KRONOBERGS LÄN</t>
        </is>
      </c>
      <c r="E190" t="inlineStr">
        <is>
          <t>TINGSRYD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19780-2021</t>
        </is>
      </c>
      <c r="B191" s="1" t="n">
        <v>44313</v>
      </c>
      <c r="C191" s="1" t="n">
        <v>46132</v>
      </c>
      <c r="D191" t="inlineStr">
        <is>
          <t>KRONOBERGS LÄN</t>
        </is>
      </c>
      <c r="E191" t="inlineStr">
        <is>
          <t>TINGSRYD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10361-2025</t>
        </is>
      </c>
      <c r="B192" s="1" t="n">
        <v>45720.54211805556</v>
      </c>
      <c r="C192" s="1" t="n">
        <v>46132</v>
      </c>
      <c r="D192" t="inlineStr">
        <is>
          <t>KRONOBERGS LÄN</t>
        </is>
      </c>
      <c r="E192" t="inlineStr">
        <is>
          <t>TINGSRYD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59093-2021</t>
        </is>
      </c>
      <c r="B193" s="1" t="n">
        <v>44490</v>
      </c>
      <c r="C193" s="1" t="n">
        <v>46132</v>
      </c>
      <c r="D193" t="inlineStr">
        <is>
          <t>KRONOBERGS LÄN</t>
        </is>
      </c>
      <c r="E193" t="inlineStr">
        <is>
          <t>TINGSRYD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31066-2022</t>
        </is>
      </c>
      <c r="B194" s="1" t="n">
        <v>44769.55420138889</v>
      </c>
      <c r="C194" s="1" t="n">
        <v>46132</v>
      </c>
      <c r="D194" t="inlineStr">
        <is>
          <t>KRONOBERGS LÄN</t>
        </is>
      </c>
      <c r="E194" t="inlineStr">
        <is>
          <t>TINGSRYD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40173-2022</t>
        </is>
      </c>
      <c r="B195" s="1" t="n">
        <v>44820</v>
      </c>
      <c r="C195" s="1" t="n">
        <v>46132</v>
      </c>
      <c r="D195" t="inlineStr">
        <is>
          <t>KRONOBERGS LÄN</t>
        </is>
      </c>
      <c r="E195" t="inlineStr">
        <is>
          <t>TINGSRYD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53497-2022</t>
        </is>
      </c>
      <c r="B196" s="1" t="n">
        <v>44875</v>
      </c>
      <c r="C196" s="1" t="n">
        <v>46132</v>
      </c>
      <c r="D196" t="inlineStr">
        <is>
          <t>KRONOBERGS LÄN</t>
        </is>
      </c>
      <c r="E196" t="inlineStr">
        <is>
          <t>TINGSRYD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14596-2024</t>
        </is>
      </c>
      <c r="B197" s="1" t="n">
        <v>45395.6982175926</v>
      </c>
      <c r="C197" s="1" t="n">
        <v>46132</v>
      </c>
      <c r="D197" t="inlineStr">
        <is>
          <t>KRONOBERGS LÄN</t>
        </is>
      </c>
      <c r="E197" t="inlineStr">
        <is>
          <t>TINGSRYD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21039-2025</t>
        </is>
      </c>
      <c r="B198" s="1" t="n">
        <v>45777.54184027778</v>
      </c>
      <c r="C198" s="1" t="n">
        <v>46132</v>
      </c>
      <c r="D198" t="inlineStr">
        <is>
          <t>KRONOBERGS LÄN</t>
        </is>
      </c>
      <c r="E198" t="inlineStr">
        <is>
          <t>TINGSRYD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21042-2025</t>
        </is>
      </c>
      <c r="B199" s="1" t="n">
        <v>45777.54693287037</v>
      </c>
      <c r="C199" s="1" t="n">
        <v>46132</v>
      </c>
      <c r="D199" t="inlineStr">
        <is>
          <t>KRONOBERGS LÄN</t>
        </is>
      </c>
      <c r="E199" t="inlineStr">
        <is>
          <t>TINGSRYD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27570-2023</t>
        </is>
      </c>
      <c r="B200" s="1" t="n">
        <v>45097</v>
      </c>
      <c r="C200" s="1" t="n">
        <v>46132</v>
      </c>
      <c r="D200" t="inlineStr">
        <is>
          <t>KRONOBERGS LÄN</t>
        </is>
      </c>
      <c r="E200" t="inlineStr">
        <is>
          <t>TINGSRYD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26221-2023</t>
        </is>
      </c>
      <c r="B201" s="1" t="n">
        <v>45091</v>
      </c>
      <c r="C201" s="1" t="n">
        <v>46132</v>
      </c>
      <c r="D201" t="inlineStr">
        <is>
          <t>KRONOBERGS LÄN</t>
        </is>
      </c>
      <c r="E201" t="inlineStr">
        <is>
          <t>TINGSRYD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40057-2024</t>
        </is>
      </c>
      <c r="B202" s="1" t="n">
        <v>45553.89721064815</v>
      </c>
      <c r="C202" s="1" t="n">
        <v>46132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7189-2025</t>
        </is>
      </c>
      <c r="B203" s="1" t="n">
        <v>45702.43898148148</v>
      </c>
      <c r="C203" s="1" t="n">
        <v>46132</v>
      </c>
      <c r="D203" t="inlineStr">
        <is>
          <t>KRONOBERGS LÄN</t>
        </is>
      </c>
      <c r="E203" t="inlineStr">
        <is>
          <t>TINGSRYD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63838-2023</t>
        </is>
      </c>
      <c r="B204" s="1" t="n">
        <v>45278.46920138889</v>
      </c>
      <c r="C204" s="1" t="n">
        <v>46132</v>
      </c>
      <c r="D204" t="inlineStr">
        <is>
          <t>KRONOBERGS LÄN</t>
        </is>
      </c>
      <c r="E204" t="inlineStr">
        <is>
          <t>TINGSRYD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19786-2024</t>
        </is>
      </c>
      <c r="B205" s="1" t="n">
        <v>45432</v>
      </c>
      <c r="C205" s="1" t="n">
        <v>46132</v>
      </c>
      <c r="D205" t="inlineStr">
        <is>
          <t>KRONOBERGS LÄN</t>
        </is>
      </c>
      <c r="E205" t="inlineStr">
        <is>
          <t>TINGSRYD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21508-2025</t>
        </is>
      </c>
      <c r="B206" s="1" t="n">
        <v>45782.62265046296</v>
      </c>
      <c r="C206" s="1" t="n">
        <v>46132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21506-2025</t>
        </is>
      </c>
      <c r="B207" s="1" t="n">
        <v>45782.61675925926</v>
      </c>
      <c r="C207" s="1" t="n">
        <v>46132</v>
      </c>
      <c r="D207" t="inlineStr">
        <is>
          <t>KRONOBERGS LÄN</t>
        </is>
      </c>
      <c r="E207" t="inlineStr">
        <is>
          <t>TINGSRYD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21913-2025</t>
        </is>
      </c>
      <c r="B208" s="1" t="n">
        <v>45784.48793981481</v>
      </c>
      <c r="C208" s="1" t="n">
        <v>46132</v>
      </c>
      <c r="D208" t="inlineStr">
        <is>
          <t>KRONOBERGS LÄN</t>
        </is>
      </c>
      <c r="E208" t="inlineStr">
        <is>
          <t>TINGSRYD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4838-2024</t>
        </is>
      </c>
      <c r="B209" s="1" t="n">
        <v>45329</v>
      </c>
      <c r="C209" s="1" t="n">
        <v>46132</v>
      </c>
      <c r="D209" t="inlineStr">
        <is>
          <t>KRONOBERGS LÄN</t>
        </is>
      </c>
      <c r="E209" t="inlineStr">
        <is>
          <t>TINGSRYD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38578-2025</t>
        </is>
      </c>
      <c r="B210" s="1" t="n">
        <v>45884.46671296296</v>
      </c>
      <c r="C210" s="1" t="n">
        <v>46132</v>
      </c>
      <c r="D210" t="inlineStr">
        <is>
          <t>KRONOBERGS LÄN</t>
        </is>
      </c>
      <c r="E210" t="inlineStr">
        <is>
          <t>TINGSRYD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39850-2024</t>
        </is>
      </c>
      <c r="B211" s="1" t="n">
        <v>45553.43114583333</v>
      </c>
      <c r="C211" s="1" t="n">
        <v>46132</v>
      </c>
      <c r="D211" t="inlineStr">
        <is>
          <t>KRONOBERGS LÄN</t>
        </is>
      </c>
      <c r="E211" t="inlineStr">
        <is>
          <t>TINGSRYD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58962-2023</t>
        </is>
      </c>
      <c r="B212" s="1" t="n">
        <v>45252.60836805555</v>
      </c>
      <c r="C212" s="1" t="n">
        <v>46132</v>
      </c>
      <c r="D212" t="inlineStr">
        <is>
          <t>KRONOBERGS LÄN</t>
        </is>
      </c>
      <c r="E212" t="inlineStr">
        <is>
          <t>TINGSRYD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51189-2025</t>
        </is>
      </c>
      <c r="B213" s="1" t="n">
        <v>45947.62445601852</v>
      </c>
      <c r="C213" s="1" t="n">
        <v>46132</v>
      </c>
      <c r="D213" t="inlineStr">
        <is>
          <t>KRONOBERGS LÄN</t>
        </is>
      </c>
      <c r="E213" t="inlineStr">
        <is>
          <t>TINGSRYD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21914-2025</t>
        </is>
      </c>
      <c r="B214" s="1" t="n">
        <v>45784.4921412037</v>
      </c>
      <c r="C214" s="1" t="n">
        <v>46132</v>
      </c>
      <c r="D214" t="inlineStr">
        <is>
          <t>KRONOBERGS LÄN</t>
        </is>
      </c>
      <c r="E214" t="inlineStr">
        <is>
          <t>TINGSRYD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33094-2021</t>
        </is>
      </c>
      <c r="B215" s="1" t="n">
        <v>44376.60693287037</v>
      </c>
      <c r="C215" s="1" t="n">
        <v>46132</v>
      </c>
      <c r="D215" t="inlineStr">
        <is>
          <t>KRONOBERGS LÄN</t>
        </is>
      </c>
      <c r="E215" t="inlineStr">
        <is>
          <t>TINGSRYD</t>
        </is>
      </c>
      <c r="F215" t="inlineStr">
        <is>
          <t>Övriga Aktiebolag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56861-2021</t>
        </is>
      </c>
      <c r="B216" s="1" t="n">
        <v>44481.71842592592</v>
      </c>
      <c r="C216" s="1" t="n">
        <v>46132</v>
      </c>
      <c r="D216" t="inlineStr">
        <is>
          <t>KRONOBERGS LÄN</t>
        </is>
      </c>
      <c r="E216" t="inlineStr">
        <is>
          <t>TINGSRYD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48953-2024</t>
        </is>
      </c>
      <c r="B217" s="1" t="n">
        <v>45594</v>
      </c>
      <c r="C217" s="1" t="n">
        <v>46132</v>
      </c>
      <c r="D217" t="inlineStr">
        <is>
          <t>KRONOBERGS LÄN</t>
        </is>
      </c>
      <c r="E217" t="inlineStr">
        <is>
          <t>TINGSRYD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58927-2023</t>
        </is>
      </c>
      <c r="B218" s="1" t="n">
        <v>45252</v>
      </c>
      <c r="C218" s="1" t="n">
        <v>46132</v>
      </c>
      <c r="D218" t="inlineStr">
        <is>
          <t>KRONOBERGS LÄN</t>
        </is>
      </c>
      <c r="E218" t="inlineStr">
        <is>
          <t>TINGSRYD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51650-2025</t>
        </is>
      </c>
      <c r="B219" s="1" t="n">
        <v>45951.46040509259</v>
      </c>
      <c r="C219" s="1" t="n">
        <v>46132</v>
      </c>
      <c r="D219" t="inlineStr">
        <is>
          <t>KRONOBERGS LÄN</t>
        </is>
      </c>
      <c r="E219" t="inlineStr">
        <is>
          <t>TINGSRYD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48306-2024</t>
        </is>
      </c>
      <c r="B220" s="1" t="n">
        <v>45590</v>
      </c>
      <c r="C220" s="1" t="n">
        <v>46132</v>
      </c>
      <c r="D220" t="inlineStr">
        <is>
          <t>KRONOBERGS LÄN</t>
        </is>
      </c>
      <c r="E220" t="inlineStr">
        <is>
          <t>TINGSRYD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24774-2022</t>
        </is>
      </c>
      <c r="B221" s="1" t="n">
        <v>44728</v>
      </c>
      <c r="C221" s="1" t="n">
        <v>46132</v>
      </c>
      <c r="D221" t="inlineStr">
        <is>
          <t>KRONOBERGS LÄN</t>
        </is>
      </c>
      <c r="E221" t="inlineStr">
        <is>
          <t>TINGSRYD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733-2024</t>
        </is>
      </c>
      <c r="B222" s="1" t="n">
        <v>45300.4487962963</v>
      </c>
      <c r="C222" s="1" t="n">
        <v>46132</v>
      </c>
      <c r="D222" t="inlineStr">
        <is>
          <t>KRONOBERGS LÄN</t>
        </is>
      </c>
      <c r="E222" t="inlineStr">
        <is>
          <t>TINGSRYD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51556-2025</t>
        </is>
      </c>
      <c r="B223" s="1" t="n">
        <v>45950.91074074074</v>
      </c>
      <c r="C223" s="1" t="n">
        <v>46132</v>
      </c>
      <c r="D223" t="inlineStr">
        <is>
          <t>KRONOBERGS LÄN</t>
        </is>
      </c>
      <c r="E223" t="inlineStr">
        <is>
          <t>TINGSRYD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51558-2025</t>
        </is>
      </c>
      <c r="B224" s="1" t="n">
        <v>45950.91810185185</v>
      </c>
      <c r="C224" s="1" t="n">
        <v>46132</v>
      </c>
      <c r="D224" t="inlineStr">
        <is>
          <t>KRONOBERGS LÄN</t>
        </is>
      </c>
      <c r="E224" t="inlineStr">
        <is>
          <t>TINGSRYD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22039-2025</t>
        </is>
      </c>
      <c r="B225" s="1" t="n">
        <v>45785.32844907408</v>
      </c>
      <c r="C225" s="1" t="n">
        <v>46132</v>
      </c>
      <c r="D225" t="inlineStr">
        <is>
          <t>KRONOBERGS LÄN</t>
        </is>
      </c>
      <c r="E225" t="inlineStr">
        <is>
          <t>TINGSRYD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22357-2025</t>
        </is>
      </c>
      <c r="B226" s="1" t="n">
        <v>45786.46171296296</v>
      </c>
      <c r="C226" s="1" t="n">
        <v>46132</v>
      </c>
      <c r="D226" t="inlineStr">
        <is>
          <t>KRONOBERGS LÄN</t>
        </is>
      </c>
      <c r="E226" t="inlineStr">
        <is>
          <t>TINGSRYD</t>
        </is>
      </c>
      <c r="F226" t="inlineStr">
        <is>
          <t>Sveaskog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44492-2021</t>
        </is>
      </c>
      <c r="B227" s="1" t="n">
        <v>44435</v>
      </c>
      <c r="C227" s="1" t="n">
        <v>46132</v>
      </c>
      <c r="D227" t="inlineStr">
        <is>
          <t>KRONOBERGS LÄN</t>
        </is>
      </c>
      <c r="E227" t="inlineStr">
        <is>
          <t>TINGSRYD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38614-2024</t>
        </is>
      </c>
      <c r="B228" s="1" t="n">
        <v>45546</v>
      </c>
      <c r="C228" s="1" t="n">
        <v>46132</v>
      </c>
      <c r="D228" t="inlineStr">
        <is>
          <t>KRONOBERGS LÄN</t>
        </is>
      </c>
      <c r="E228" t="inlineStr">
        <is>
          <t>TINGSRYD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3303-2025</t>
        </is>
      </c>
      <c r="B229" s="1" t="n">
        <v>45679.65525462963</v>
      </c>
      <c r="C229" s="1" t="n">
        <v>46132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8543-2025</t>
        </is>
      </c>
      <c r="B230" s="1" t="n">
        <v>45709.60627314815</v>
      </c>
      <c r="C230" s="1" t="n">
        <v>46132</v>
      </c>
      <c r="D230" t="inlineStr">
        <is>
          <t>KRONOBERGS LÄN</t>
        </is>
      </c>
      <c r="E230" t="inlineStr">
        <is>
          <t>TINGSRYD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41824-2023</t>
        </is>
      </c>
      <c r="B231" s="1" t="n">
        <v>45176.58252314815</v>
      </c>
      <c r="C231" s="1" t="n">
        <v>46132</v>
      </c>
      <c r="D231" t="inlineStr">
        <is>
          <t>KRONOBERGS LÄN</t>
        </is>
      </c>
      <c r="E231" t="inlineStr">
        <is>
          <t>TINGSRYD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51557-2025</t>
        </is>
      </c>
      <c r="B232" s="1" t="n">
        <v>45950.91234953704</v>
      </c>
      <c r="C232" s="1" t="n">
        <v>46132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22137-2025</t>
        </is>
      </c>
      <c r="B233" s="1" t="n">
        <v>45785.54833333333</v>
      </c>
      <c r="C233" s="1" t="n">
        <v>46132</v>
      </c>
      <c r="D233" t="inlineStr">
        <is>
          <t>KRONOBERGS LÄN</t>
        </is>
      </c>
      <c r="E233" t="inlineStr">
        <is>
          <t>TINGSRYD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1534-2025</t>
        </is>
      </c>
      <c r="B234" s="1" t="n">
        <v>45670.48797453703</v>
      </c>
      <c r="C234" s="1" t="n">
        <v>46132</v>
      </c>
      <c r="D234" t="inlineStr">
        <is>
          <t>KRONOBERGS LÄN</t>
        </is>
      </c>
      <c r="E234" t="inlineStr">
        <is>
          <t>TINGSRYD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3190-2025</t>
        </is>
      </c>
      <c r="B235" s="1" t="n">
        <v>45679</v>
      </c>
      <c r="C235" s="1" t="n">
        <v>46132</v>
      </c>
      <c r="D235" t="inlineStr">
        <is>
          <t>KRONOBERGS LÄN</t>
        </is>
      </c>
      <c r="E235" t="inlineStr">
        <is>
          <t>TINGSRYD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32612-2022</t>
        </is>
      </c>
      <c r="B236" s="1" t="n">
        <v>44783</v>
      </c>
      <c r="C236" s="1" t="n">
        <v>46132</v>
      </c>
      <c r="D236" t="inlineStr">
        <is>
          <t>KRONOBERGS LÄN</t>
        </is>
      </c>
      <c r="E236" t="inlineStr">
        <is>
          <t>TINGSRYD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43263-2024</t>
        </is>
      </c>
      <c r="B237" s="1" t="n">
        <v>45568.36784722222</v>
      </c>
      <c r="C237" s="1" t="n">
        <v>46132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46927-2021</t>
        </is>
      </c>
      <c r="B238" s="1" t="n">
        <v>44446.48659722223</v>
      </c>
      <c r="C238" s="1" t="n">
        <v>46132</v>
      </c>
      <c r="D238" t="inlineStr">
        <is>
          <t>KRONOBERGS LÄN</t>
        </is>
      </c>
      <c r="E238" t="inlineStr">
        <is>
          <t>TINGSRYD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42349-2024</t>
        </is>
      </c>
      <c r="B239" s="1" t="n">
        <v>45562.70030092593</v>
      </c>
      <c r="C239" s="1" t="n">
        <v>46132</v>
      </c>
      <c r="D239" t="inlineStr">
        <is>
          <t>KRONOBERGS LÄN</t>
        </is>
      </c>
      <c r="E239" t="inlineStr">
        <is>
          <t>TINGSRYD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32142-2024</t>
        </is>
      </c>
      <c r="B240" s="1" t="n">
        <v>45511</v>
      </c>
      <c r="C240" s="1" t="n">
        <v>46132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22969-2024</t>
        </is>
      </c>
      <c r="B241" s="1" t="n">
        <v>45449.62283564815</v>
      </c>
      <c r="C241" s="1" t="n">
        <v>46132</v>
      </c>
      <c r="D241" t="inlineStr">
        <is>
          <t>KRONOBERGS LÄN</t>
        </is>
      </c>
      <c r="E241" t="inlineStr">
        <is>
          <t>TINGSRYD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22970-2024</t>
        </is>
      </c>
      <c r="B242" s="1" t="n">
        <v>45449.62583333333</v>
      </c>
      <c r="C242" s="1" t="n">
        <v>46132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51636-2025</t>
        </is>
      </c>
      <c r="B243" s="1" t="n">
        <v>45951.43425925926</v>
      </c>
      <c r="C243" s="1" t="n">
        <v>46132</v>
      </c>
      <c r="D243" t="inlineStr">
        <is>
          <t>KRONOBERGS LÄN</t>
        </is>
      </c>
      <c r="E243" t="inlineStr">
        <is>
          <t>TINGSRYD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54728-2022</t>
        </is>
      </c>
      <c r="B244" s="1" t="n">
        <v>44883.55409722222</v>
      </c>
      <c r="C244" s="1" t="n">
        <v>46132</v>
      </c>
      <c r="D244" t="inlineStr">
        <is>
          <t>KRONOBERGS LÄN</t>
        </is>
      </c>
      <c r="E244" t="inlineStr">
        <is>
          <t>TINGSRYD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58819-2024</t>
        </is>
      </c>
      <c r="B245" s="1" t="n">
        <v>45636.36040509259</v>
      </c>
      <c r="C245" s="1" t="n">
        <v>46132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42315-2023</t>
        </is>
      </c>
      <c r="B246" s="1" t="n">
        <v>45180.46916666667</v>
      </c>
      <c r="C246" s="1" t="n">
        <v>46132</v>
      </c>
      <c r="D246" t="inlineStr">
        <is>
          <t>KRONOBERGS LÄN</t>
        </is>
      </c>
      <c r="E246" t="inlineStr">
        <is>
          <t>TINGSRYD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49965-2024</t>
        </is>
      </c>
      <c r="B247" s="1" t="n">
        <v>45597.63311342592</v>
      </c>
      <c r="C247" s="1" t="n">
        <v>46132</v>
      </c>
      <c r="D247" t="inlineStr">
        <is>
          <t>KRONOBERGS LÄN</t>
        </is>
      </c>
      <c r="E247" t="inlineStr">
        <is>
          <t>TINGSRYD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14400-2024</t>
        </is>
      </c>
      <c r="B248" s="1" t="n">
        <v>45394.34818287037</v>
      </c>
      <c r="C248" s="1" t="n">
        <v>46132</v>
      </c>
      <c r="D248" t="inlineStr">
        <is>
          <t>KRONOBERGS LÄN</t>
        </is>
      </c>
      <c r="E248" t="inlineStr">
        <is>
          <t>TINGSRYD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34247-2024</t>
        </is>
      </c>
      <c r="B249" s="1" t="n">
        <v>45524.58696759259</v>
      </c>
      <c r="C249" s="1" t="n">
        <v>46132</v>
      </c>
      <c r="D249" t="inlineStr">
        <is>
          <t>KRONOBERGS LÄN</t>
        </is>
      </c>
      <c r="E249" t="inlineStr">
        <is>
          <t>TINGSRYD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45393-2024</t>
        </is>
      </c>
      <c r="B250" s="1" t="n">
        <v>45576.55013888889</v>
      </c>
      <c r="C250" s="1" t="n">
        <v>46132</v>
      </c>
      <c r="D250" t="inlineStr">
        <is>
          <t>KRONOBERGS LÄN</t>
        </is>
      </c>
      <c r="E250" t="inlineStr">
        <is>
          <t>TINGSRYD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55994-2023</t>
        </is>
      </c>
      <c r="B251" s="1" t="n">
        <v>45240.38824074074</v>
      </c>
      <c r="C251" s="1" t="n">
        <v>46132</v>
      </c>
      <c r="D251" t="inlineStr">
        <is>
          <t>KRONOBERGS LÄN</t>
        </is>
      </c>
      <c r="E251" t="inlineStr">
        <is>
          <t>TINGSRYD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42390-2024</t>
        </is>
      </c>
      <c r="B252" s="1" t="n">
        <v>45565.32006944445</v>
      </c>
      <c r="C252" s="1" t="n">
        <v>46132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32624-2022</t>
        </is>
      </c>
      <c r="B253" s="1" t="n">
        <v>44783</v>
      </c>
      <c r="C253" s="1" t="n">
        <v>46132</v>
      </c>
      <c r="D253" t="inlineStr">
        <is>
          <t>KRONOBERGS LÄN</t>
        </is>
      </c>
      <c r="E253" t="inlineStr">
        <is>
          <t>TINGSRYD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55126-2023</t>
        </is>
      </c>
      <c r="B254" s="1" t="n">
        <v>45230</v>
      </c>
      <c r="C254" s="1" t="n">
        <v>46132</v>
      </c>
      <c r="D254" t="inlineStr">
        <is>
          <t>KRONOBERGS LÄN</t>
        </is>
      </c>
      <c r="E254" t="inlineStr">
        <is>
          <t>TINGSRYD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25594-2023</t>
        </is>
      </c>
      <c r="B255" s="1" t="n">
        <v>45089.63690972222</v>
      </c>
      <c r="C255" s="1" t="n">
        <v>46132</v>
      </c>
      <c r="D255" t="inlineStr">
        <is>
          <t>KRONOBERGS LÄN</t>
        </is>
      </c>
      <c r="E255" t="inlineStr">
        <is>
          <t>TINGSRYD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33352-2023</t>
        </is>
      </c>
      <c r="B256" s="1" t="n">
        <v>45117</v>
      </c>
      <c r="C256" s="1" t="n">
        <v>46132</v>
      </c>
      <c r="D256" t="inlineStr">
        <is>
          <t>KRONOBERGS LÄN</t>
        </is>
      </c>
      <c r="E256" t="inlineStr">
        <is>
          <t>TINGSRYD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33360-2023</t>
        </is>
      </c>
      <c r="B257" s="1" t="n">
        <v>45117</v>
      </c>
      <c r="C257" s="1" t="n">
        <v>46132</v>
      </c>
      <c r="D257" t="inlineStr">
        <is>
          <t>KRONOBERGS LÄN</t>
        </is>
      </c>
      <c r="E257" t="inlineStr">
        <is>
          <t>TINGSRYD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1781-2025</t>
        </is>
      </c>
      <c r="B258" s="1" t="n">
        <v>45671</v>
      </c>
      <c r="C258" s="1" t="n">
        <v>46132</v>
      </c>
      <c r="D258" t="inlineStr">
        <is>
          <t>KRONOBERGS LÄN</t>
        </is>
      </c>
      <c r="E258" t="inlineStr">
        <is>
          <t>TINGSRYD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61851-2023</t>
        </is>
      </c>
      <c r="B259" s="1" t="n">
        <v>45266</v>
      </c>
      <c r="C259" s="1" t="n">
        <v>46132</v>
      </c>
      <c r="D259" t="inlineStr">
        <is>
          <t>KRONOBERGS LÄN</t>
        </is>
      </c>
      <c r="E259" t="inlineStr">
        <is>
          <t>TINGSRYD</t>
        </is>
      </c>
      <c r="F259" t="inlineStr">
        <is>
          <t>Övriga Aktiebolag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22580-2025</t>
        </is>
      </c>
      <c r="B260" s="1" t="n">
        <v>45789.38111111111</v>
      </c>
      <c r="C260" s="1" t="n">
        <v>46132</v>
      </c>
      <c r="D260" t="inlineStr">
        <is>
          <t>KRONOBERGS LÄN</t>
        </is>
      </c>
      <c r="E260" t="inlineStr">
        <is>
          <t>TINGSRYD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22582-2025</t>
        </is>
      </c>
      <c r="B261" s="1" t="n">
        <v>45789.38739583334</v>
      </c>
      <c r="C261" s="1" t="n">
        <v>46132</v>
      </c>
      <c r="D261" t="inlineStr">
        <is>
          <t>KRONOBERGS LÄN</t>
        </is>
      </c>
      <c r="E261" t="inlineStr">
        <is>
          <t>TINGSRYD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38876-2025</t>
        </is>
      </c>
      <c r="B262" s="1" t="n">
        <v>45887.57631944444</v>
      </c>
      <c r="C262" s="1" t="n">
        <v>46132</v>
      </c>
      <c r="D262" t="inlineStr">
        <is>
          <t>KRONOBERGS LÄN</t>
        </is>
      </c>
      <c r="E262" t="inlineStr">
        <is>
          <t>TINGSRYD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22583-2025</t>
        </is>
      </c>
      <c r="B263" s="1" t="n">
        <v>45789.39083333333</v>
      </c>
      <c r="C263" s="1" t="n">
        <v>46132</v>
      </c>
      <c r="D263" t="inlineStr">
        <is>
          <t>KRONOBERGS LÄN</t>
        </is>
      </c>
      <c r="E263" t="inlineStr">
        <is>
          <t>TINGSRYD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8743-2025</t>
        </is>
      </c>
      <c r="B264" s="1" t="n">
        <v>45712.55288194444</v>
      </c>
      <c r="C264" s="1" t="n">
        <v>46132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7307-2024</t>
        </is>
      </c>
      <c r="B265" s="1" t="n">
        <v>45345</v>
      </c>
      <c r="C265" s="1" t="n">
        <v>46132</v>
      </c>
      <c r="D265" t="inlineStr">
        <is>
          <t>KRONOBERGS LÄN</t>
        </is>
      </c>
      <c r="E265" t="inlineStr">
        <is>
          <t>TINGSRYD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20892-2024</t>
        </is>
      </c>
      <c r="B266" s="1" t="n">
        <v>45439.46385416666</v>
      </c>
      <c r="C266" s="1" t="n">
        <v>46132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29803-2025</t>
        </is>
      </c>
      <c r="B267" s="1" t="n">
        <v>45825.70871527777</v>
      </c>
      <c r="C267" s="1" t="n">
        <v>46132</v>
      </c>
      <c r="D267" t="inlineStr">
        <is>
          <t>KRONOBERGS LÄN</t>
        </is>
      </c>
      <c r="E267" t="inlineStr">
        <is>
          <t>TINGSRYD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25989-2024</t>
        </is>
      </c>
      <c r="B268" s="1" t="n">
        <v>45467</v>
      </c>
      <c r="C268" s="1" t="n">
        <v>46132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25992-2024</t>
        </is>
      </c>
      <c r="B269" s="1" t="n">
        <v>45467</v>
      </c>
      <c r="C269" s="1" t="n">
        <v>46132</v>
      </c>
      <c r="D269" t="inlineStr">
        <is>
          <t>KRONOBERGS LÄN</t>
        </is>
      </c>
      <c r="E269" t="inlineStr">
        <is>
          <t>TINGSRYD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25993-2024</t>
        </is>
      </c>
      <c r="B270" s="1" t="n">
        <v>45467</v>
      </c>
      <c r="C270" s="1" t="n">
        <v>46132</v>
      </c>
      <c r="D270" t="inlineStr">
        <is>
          <t>KRONOBERGS LÄN</t>
        </is>
      </c>
      <c r="E270" t="inlineStr">
        <is>
          <t>TINGSRYD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23861-2024</t>
        </is>
      </c>
      <c r="B271" s="1" t="n">
        <v>45455.58665509259</v>
      </c>
      <c r="C271" s="1" t="n">
        <v>46132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59085-2024</t>
        </is>
      </c>
      <c r="B272" s="1" t="n">
        <v>45637.31363425926</v>
      </c>
      <c r="C272" s="1" t="n">
        <v>46132</v>
      </c>
      <c r="D272" t="inlineStr">
        <is>
          <t>KRONOBERGS LÄN</t>
        </is>
      </c>
      <c r="E272" t="inlineStr">
        <is>
          <t>TINGSRYD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38843-2025</t>
        </is>
      </c>
      <c r="B273" s="1" t="n">
        <v>45887.54020833333</v>
      </c>
      <c r="C273" s="1" t="n">
        <v>46132</v>
      </c>
      <c r="D273" t="inlineStr">
        <is>
          <t>KRONOBERGS LÄN</t>
        </is>
      </c>
      <c r="E273" t="inlineStr">
        <is>
          <t>TINGSRYD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38571-2021</t>
        </is>
      </c>
      <c r="B274" s="1" t="n">
        <v>44407</v>
      </c>
      <c r="C274" s="1" t="n">
        <v>46132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172-2023</t>
        </is>
      </c>
      <c r="B275" s="1" t="n">
        <v>44928.57497685185</v>
      </c>
      <c r="C275" s="1" t="n">
        <v>46132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52217-2025</t>
        </is>
      </c>
      <c r="B276" s="1" t="n">
        <v>45953.42959490741</v>
      </c>
      <c r="C276" s="1" t="n">
        <v>46132</v>
      </c>
      <c r="D276" t="inlineStr">
        <is>
          <t>KRONOBERGS LÄN</t>
        </is>
      </c>
      <c r="E276" t="inlineStr">
        <is>
          <t>TINGSRYD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7310-2024</t>
        </is>
      </c>
      <c r="B277" s="1" t="n">
        <v>45345</v>
      </c>
      <c r="C277" s="1" t="n">
        <v>46132</v>
      </c>
      <c r="D277" t="inlineStr">
        <is>
          <t>KRONOBERGS LÄN</t>
        </is>
      </c>
      <c r="E277" t="inlineStr">
        <is>
          <t>TINGSRYD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58946-2023</t>
        </is>
      </c>
      <c r="B278" s="1" t="n">
        <v>45252.57751157408</v>
      </c>
      <c r="C278" s="1" t="n">
        <v>46132</v>
      </c>
      <c r="D278" t="inlineStr">
        <is>
          <t>KRONOBERGS LÄN</t>
        </is>
      </c>
      <c r="E278" t="inlineStr">
        <is>
          <t>TINGSRYD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38882-2025</t>
        </is>
      </c>
      <c r="B279" s="1" t="n">
        <v>45887.58039351852</v>
      </c>
      <c r="C279" s="1" t="n">
        <v>46132</v>
      </c>
      <c r="D279" t="inlineStr">
        <is>
          <t>KRONOBERGS LÄN</t>
        </is>
      </c>
      <c r="E279" t="inlineStr">
        <is>
          <t>TINGSRYD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28220-2024</t>
        </is>
      </c>
      <c r="B280" s="1" t="n">
        <v>45477.3696412037</v>
      </c>
      <c r="C280" s="1" t="n">
        <v>46132</v>
      </c>
      <c r="D280" t="inlineStr">
        <is>
          <t>KRONOBERGS LÄN</t>
        </is>
      </c>
      <c r="E280" t="inlineStr">
        <is>
          <t>TINGSRYD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35997-2024</t>
        </is>
      </c>
      <c r="B281" s="1" t="n">
        <v>45533.54414351852</v>
      </c>
      <c r="C281" s="1" t="n">
        <v>46132</v>
      </c>
      <c r="D281" t="inlineStr">
        <is>
          <t>KRONOBERGS LÄN</t>
        </is>
      </c>
      <c r="E281" t="inlineStr">
        <is>
          <t>TINGSRYD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58747-2022</t>
        </is>
      </c>
      <c r="B282" s="1" t="n">
        <v>44903.32229166666</v>
      </c>
      <c r="C282" s="1" t="n">
        <v>46132</v>
      </c>
      <c r="D282" t="inlineStr">
        <is>
          <t>KRONOBERGS LÄN</t>
        </is>
      </c>
      <c r="E282" t="inlineStr">
        <is>
          <t>TINGSRYD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24981-2023</t>
        </is>
      </c>
      <c r="B283" s="1" t="n">
        <v>45085</v>
      </c>
      <c r="C283" s="1" t="n">
        <v>46132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22153-2024</t>
        </is>
      </c>
      <c r="B284" s="1" t="n">
        <v>45445.42417824074</v>
      </c>
      <c r="C284" s="1" t="n">
        <v>46132</v>
      </c>
      <c r="D284" t="inlineStr">
        <is>
          <t>KRONOBERGS LÄN</t>
        </is>
      </c>
      <c r="E284" t="inlineStr">
        <is>
          <t>TINGSRYD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37215-2025</t>
        </is>
      </c>
      <c r="B285" s="1" t="n">
        <v>45875</v>
      </c>
      <c r="C285" s="1" t="n">
        <v>46132</v>
      </c>
      <c r="D285" t="inlineStr">
        <is>
          <t>KRONOBERGS LÄN</t>
        </is>
      </c>
      <c r="E285" t="inlineStr">
        <is>
          <t>TINGSRYD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39485-2025</t>
        </is>
      </c>
      <c r="B286" s="1" t="n">
        <v>45890.36122685186</v>
      </c>
      <c r="C286" s="1" t="n">
        <v>46132</v>
      </c>
      <c r="D286" t="inlineStr">
        <is>
          <t>KRONOBERGS LÄN</t>
        </is>
      </c>
      <c r="E286" t="inlineStr">
        <is>
          <t>TINGSRYD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39766-2025</t>
        </is>
      </c>
      <c r="B287" s="1" t="n">
        <v>45891</v>
      </c>
      <c r="C287" s="1" t="n">
        <v>46132</v>
      </c>
      <c r="D287" t="inlineStr">
        <is>
          <t>KRONOBERGS LÄN</t>
        </is>
      </c>
      <c r="E287" t="inlineStr">
        <is>
          <t>TINGSRYD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53176-2021</t>
        </is>
      </c>
      <c r="B288" s="1" t="n">
        <v>44467</v>
      </c>
      <c r="C288" s="1" t="n">
        <v>46132</v>
      </c>
      <c r="D288" t="inlineStr">
        <is>
          <t>KRONOBERGS LÄN</t>
        </is>
      </c>
      <c r="E288" t="inlineStr">
        <is>
          <t>TINGSRYD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23830-2025</t>
        </is>
      </c>
      <c r="B289" s="1" t="n">
        <v>45793.60109953704</v>
      </c>
      <c r="C289" s="1" t="n">
        <v>46132</v>
      </c>
      <c r="D289" t="inlineStr">
        <is>
          <t>KRONOBERGS LÄN</t>
        </is>
      </c>
      <c r="E289" t="inlineStr">
        <is>
          <t>TINGSRYD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25009-2024</t>
        </is>
      </c>
      <c r="B290" s="1" t="n">
        <v>45461.85684027777</v>
      </c>
      <c r="C290" s="1" t="n">
        <v>46132</v>
      </c>
      <c r="D290" t="inlineStr">
        <is>
          <t>KRONOBERGS LÄN</t>
        </is>
      </c>
      <c r="E290" t="inlineStr">
        <is>
          <t>TINGSRYD</t>
        </is>
      </c>
      <c r="F290" t="inlineStr">
        <is>
          <t>Övriga Aktiebolag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23838-2025</t>
        </is>
      </c>
      <c r="B291" s="1" t="n">
        <v>45793.61269675926</v>
      </c>
      <c r="C291" s="1" t="n">
        <v>46132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23828-2025</t>
        </is>
      </c>
      <c r="B292" s="1" t="n">
        <v>45793.59478009259</v>
      </c>
      <c r="C292" s="1" t="n">
        <v>46132</v>
      </c>
      <c r="D292" t="inlineStr">
        <is>
          <t>KRONOBERGS LÄN</t>
        </is>
      </c>
      <c r="E292" t="inlineStr">
        <is>
          <t>TINGSRYD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58641-2021</t>
        </is>
      </c>
      <c r="B293" s="1" t="n">
        <v>44489.36054398148</v>
      </c>
      <c r="C293" s="1" t="n">
        <v>46132</v>
      </c>
      <c r="D293" t="inlineStr">
        <is>
          <t>KRONOBERGS LÄN</t>
        </is>
      </c>
      <c r="E293" t="inlineStr">
        <is>
          <t>TINGSRYD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36890-2023</t>
        </is>
      </c>
      <c r="B294" s="1" t="n">
        <v>45154.61569444444</v>
      </c>
      <c r="C294" s="1" t="n">
        <v>46132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20567-2024</t>
        </is>
      </c>
      <c r="B295" s="1" t="n">
        <v>45436.38177083333</v>
      </c>
      <c r="C295" s="1" t="n">
        <v>46132</v>
      </c>
      <c r="D295" t="inlineStr">
        <is>
          <t>KRONOBERGS LÄN</t>
        </is>
      </c>
      <c r="E295" t="inlineStr">
        <is>
          <t>TINGSRYD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36274-2023</t>
        </is>
      </c>
      <c r="B296" s="1" t="n">
        <v>45152.32761574074</v>
      </c>
      <c r="C296" s="1" t="n">
        <v>46132</v>
      </c>
      <c r="D296" t="inlineStr">
        <is>
          <t>KRONOBERGS LÄN</t>
        </is>
      </c>
      <c r="E296" t="inlineStr">
        <is>
          <t>TINGSRYD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40578-2025</t>
        </is>
      </c>
      <c r="B297" s="1" t="n">
        <v>45896.51149305556</v>
      </c>
      <c r="C297" s="1" t="n">
        <v>46132</v>
      </c>
      <c r="D297" t="inlineStr">
        <is>
          <t>KRONOBERGS LÄN</t>
        </is>
      </c>
      <c r="E297" t="inlineStr">
        <is>
          <t>TINGSRYD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72446-2021</t>
        </is>
      </c>
      <c r="B298" s="1" t="n">
        <v>44545.69075231482</v>
      </c>
      <c r="C298" s="1" t="n">
        <v>46132</v>
      </c>
      <c r="D298" t="inlineStr">
        <is>
          <t>KRONOBERGS LÄN</t>
        </is>
      </c>
      <c r="E298" t="inlineStr">
        <is>
          <t>TINGSRYD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23985-2025</t>
        </is>
      </c>
      <c r="B299" s="1" t="n">
        <v>45796.39645833334</v>
      </c>
      <c r="C299" s="1" t="n">
        <v>46132</v>
      </c>
      <c r="D299" t="inlineStr">
        <is>
          <t>KRONOBERGS LÄN</t>
        </is>
      </c>
      <c r="E299" t="inlineStr">
        <is>
          <t>TINGSRYD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40581-2025</t>
        </is>
      </c>
      <c r="B300" s="1" t="n">
        <v>45896.51361111111</v>
      </c>
      <c r="C300" s="1" t="n">
        <v>46132</v>
      </c>
      <c r="D300" t="inlineStr">
        <is>
          <t>KRONOBERGS LÄN</t>
        </is>
      </c>
      <c r="E300" t="inlineStr">
        <is>
          <t>TINGSRYD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2293-2024</t>
        </is>
      </c>
      <c r="B301" s="1" t="n">
        <v>45310.42872685185</v>
      </c>
      <c r="C301" s="1" t="n">
        <v>46132</v>
      </c>
      <c r="D301" t="inlineStr">
        <is>
          <t>KRONOBERGS LÄN</t>
        </is>
      </c>
      <c r="E301" t="inlineStr">
        <is>
          <t>TINGSRYD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40984-2025</t>
        </is>
      </c>
      <c r="B302" s="1" t="n">
        <v>45898.30145833334</v>
      </c>
      <c r="C302" s="1" t="n">
        <v>46132</v>
      </c>
      <c r="D302" t="inlineStr">
        <is>
          <t>KRONOBERGS LÄN</t>
        </is>
      </c>
      <c r="E302" t="inlineStr">
        <is>
          <t>TINGSRYD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23823-2025</t>
        </is>
      </c>
      <c r="B303" s="1" t="n">
        <v>45793.59197916667</v>
      </c>
      <c r="C303" s="1" t="n">
        <v>46132</v>
      </c>
      <c r="D303" t="inlineStr">
        <is>
          <t>KRONOBERGS LÄN</t>
        </is>
      </c>
      <c r="E303" t="inlineStr">
        <is>
          <t>TINGSRYD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27718-2024</t>
        </is>
      </c>
      <c r="B304" s="1" t="n">
        <v>45475.38958333333</v>
      </c>
      <c r="C304" s="1" t="n">
        <v>46132</v>
      </c>
      <c r="D304" t="inlineStr">
        <is>
          <t>KRONOBERGS LÄN</t>
        </is>
      </c>
      <c r="E304" t="inlineStr">
        <is>
          <t>TINGSRYD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40856-2025</t>
        </is>
      </c>
      <c r="B305" s="1" t="n">
        <v>45897.55859953703</v>
      </c>
      <c r="C305" s="1" t="n">
        <v>46132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37882-2025</t>
        </is>
      </c>
      <c r="B306" s="1" t="n">
        <v>45881.4999537037</v>
      </c>
      <c r="C306" s="1" t="n">
        <v>46132</v>
      </c>
      <c r="D306" t="inlineStr">
        <is>
          <t>KRONOBERGS LÄN</t>
        </is>
      </c>
      <c r="E306" t="inlineStr">
        <is>
          <t>TINGSRYD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24621-2025</t>
        </is>
      </c>
      <c r="B307" s="1" t="n">
        <v>45798</v>
      </c>
      <c r="C307" s="1" t="n">
        <v>46132</v>
      </c>
      <c r="D307" t="inlineStr">
        <is>
          <t>KRONOBERGS LÄN</t>
        </is>
      </c>
      <c r="E307" t="inlineStr">
        <is>
          <t>TINGSRYD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40865-2025</t>
        </is>
      </c>
      <c r="B308" s="1" t="n">
        <v>45897.56900462963</v>
      </c>
      <c r="C308" s="1" t="n">
        <v>46132</v>
      </c>
      <c r="D308" t="inlineStr">
        <is>
          <t>KRONOBERGS LÄN</t>
        </is>
      </c>
      <c r="E308" t="inlineStr">
        <is>
          <t>TINGSRYD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41071-2025</t>
        </is>
      </c>
      <c r="B309" s="1" t="n">
        <v>45898.41762731481</v>
      </c>
      <c r="C309" s="1" t="n">
        <v>46132</v>
      </c>
      <c r="D309" t="inlineStr">
        <is>
          <t>KRONOBERGS LÄN</t>
        </is>
      </c>
      <c r="E309" t="inlineStr">
        <is>
          <t>TINGSRYD</t>
        </is>
      </c>
      <c r="F309" t="inlineStr">
        <is>
          <t>Kommuner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40985-2025</t>
        </is>
      </c>
      <c r="B310" s="1" t="n">
        <v>45898.30258101852</v>
      </c>
      <c r="C310" s="1" t="n">
        <v>46132</v>
      </c>
      <c r="D310" t="inlineStr">
        <is>
          <t>KRONOBERGS LÄN</t>
        </is>
      </c>
      <c r="E310" t="inlineStr">
        <is>
          <t>TINGSRYD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20563-2024</t>
        </is>
      </c>
      <c r="B311" s="1" t="n">
        <v>45436.36854166666</v>
      </c>
      <c r="C311" s="1" t="n">
        <v>46132</v>
      </c>
      <c r="D311" t="inlineStr">
        <is>
          <t>KRONOBERGS LÄN</t>
        </is>
      </c>
      <c r="E311" t="inlineStr">
        <is>
          <t>TINGSRYD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24685-2025</t>
        </is>
      </c>
      <c r="B312" s="1" t="n">
        <v>45798.66282407408</v>
      </c>
      <c r="C312" s="1" t="n">
        <v>46132</v>
      </c>
      <c r="D312" t="inlineStr">
        <is>
          <t>KRONOBERGS LÄN</t>
        </is>
      </c>
      <c r="E312" t="inlineStr">
        <is>
          <t>TINGSRYD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61657-2024</t>
        </is>
      </c>
      <c r="B313" s="1" t="n">
        <v>45646.79543981481</v>
      </c>
      <c r="C313" s="1" t="n">
        <v>46132</v>
      </c>
      <c r="D313" t="inlineStr">
        <is>
          <t>KRONOBERGS LÄN</t>
        </is>
      </c>
      <c r="E313" t="inlineStr">
        <is>
          <t>TINGSRYD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13342-2023</t>
        </is>
      </c>
      <c r="B314" s="1" t="n">
        <v>45005</v>
      </c>
      <c r="C314" s="1" t="n">
        <v>46132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25290-2025</t>
        </is>
      </c>
      <c r="B315" s="1" t="n">
        <v>45800.56369212963</v>
      </c>
      <c r="C315" s="1" t="n">
        <v>46132</v>
      </c>
      <c r="D315" t="inlineStr">
        <is>
          <t>KRONOBERGS LÄN</t>
        </is>
      </c>
      <c r="E315" t="inlineStr">
        <is>
          <t>TINGSRYD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25304-2025</t>
        </is>
      </c>
      <c r="B316" s="1" t="n">
        <v>45800.57278935185</v>
      </c>
      <c r="C316" s="1" t="n">
        <v>46132</v>
      </c>
      <c r="D316" t="inlineStr">
        <is>
          <t>KRONOBERGS LÄN</t>
        </is>
      </c>
      <c r="E316" t="inlineStr">
        <is>
          <t>TINGSRYD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41835-2025</t>
        </is>
      </c>
      <c r="B317" s="1" t="n">
        <v>45902.70890046296</v>
      </c>
      <c r="C317" s="1" t="n">
        <v>46132</v>
      </c>
      <c r="D317" t="inlineStr">
        <is>
          <t>KRONOBERGS LÄN</t>
        </is>
      </c>
      <c r="E317" t="inlineStr">
        <is>
          <t>TINGSRYD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41833-2025</t>
        </is>
      </c>
      <c r="B318" s="1" t="n">
        <v>45902.7003125</v>
      </c>
      <c r="C318" s="1" t="n">
        <v>46132</v>
      </c>
      <c r="D318" t="inlineStr">
        <is>
          <t>KRONOBERGS LÄN</t>
        </is>
      </c>
      <c r="E318" t="inlineStr">
        <is>
          <t>TINGSRYD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1356-2023</t>
        </is>
      </c>
      <c r="B319" s="1" t="n">
        <v>44936.62181712963</v>
      </c>
      <c r="C319" s="1" t="n">
        <v>46132</v>
      </c>
      <c r="D319" t="inlineStr">
        <is>
          <t>KRONOBERGS LÄN</t>
        </is>
      </c>
      <c r="E319" t="inlineStr">
        <is>
          <t>TINGSRYD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1360-2023</t>
        </is>
      </c>
      <c r="B320" s="1" t="n">
        <v>44936</v>
      </c>
      <c r="C320" s="1" t="n">
        <v>46132</v>
      </c>
      <c r="D320" t="inlineStr">
        <is>
          <t>KRONOBERGS LÄN</t>
        </is>
      </c>
      <c r="E320" t="inlineStr">
        <is>
          <t>TINGSRYD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61658-2024</t>
        </is>
      </c>
      <c r="B321" s="1" t="n">
        <v>45646.7996412037</v>
      </c>
      <c r="C321" s="1" t="n">
        <v>46132</v>
      </c>
      <c r="D321" t="inlineStr">
        <is>
          <t>KRONOBERGS LÄN</t>
        </is>
      </c>
      <c r="E321" t="inlineStr">
        <is>
          <t>TINGSRYD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21980-2024</t>
        </is>
      </c>
      <c r="B322" s="1" t="n">
        <v>45443</v>
      </c>
      <c r="C322" s="1" t="n">
        <v>46132</v>
      </c>
      <c r="D322" t="inlineStr">
        <is>
          <t>KRONOBERGS LÄN</t>
        </is>
      </c>
      <c r="E322" t="inlineStr">
        <is>
          <t>TINGSRYD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57451-2023</t>
        </is>
      </c>
      <c r="B323" s="1" t="n">
        <v>45246.34444444445</v>
      </c>
      <c r="C323" s="1" t="n">
        <v>46132</v>
      </c>
      <c r="D323" t="inlineStr">
        <is>
          <t>KRONOBERGS LÄN</t>
        </is>
      </c>
      <c r="E323" t="inlineStr">
        <is>
          <t>TINGSRYD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5265-2025</t>
        </is>
      </c>
      <c r="B324" s="1" t="n">
        <v>45692.37760416666</v>
      </c>
      <c r="C324" s="1" t="n">
        <v>46132</v>
      </c>
      <c r="D324" t="inlineStr">
        <is>
          <t>KRONOBERGS LÄN</t>
        </is>
      </c>
      <c r="E324" t="inlineStr">
        <is>
          <t>TINGSRYD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25165-2025</t>
        </is>
      </c>
      <c r="B325" s="1" t="n">
        <v>45800.43210648148</v>
      </c>
      <c r="C325" s="1" t="n">
        <v>46132</v>
      </c>
      <c r="D325" t="inlineStr">
        <is>
          <t>KRONOBERGS LÄN</t>
        </is>
      </c>
      <c r="E325" t="inlineStr">
        <is>
          <t>TINGSRYD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42001-2025</t>
        </is>
      </c>
      <c r="B326" s="1" t="n">
        <v>45903.55363425926</v>
      </c>
      <c r="C326" s="1" t="n">
        <v>46132</v>
      </c>
      <c r="D326" t="inlineStr">
        <is>
          <t>KRONOBERGS LÄN</t>
        </is>
      </c>
      <c r="E326" t="inlineStr">
        <is>
          <t>TINGSRYD</t>
        </is>
      </c>
      <c r="F326" t="inlineStr">
        <is>
          <t>Övriga Aktiebolag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41998-2025</t>
        </is>
      </c>
      <c r="B327" s="1" t="n">
        <v>45903.55202546297</v>
      </c>
      <c r="C327" s="1" t="n">
        <v>46132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60783-2024</t>
        </is>
      </c>
      <c r="B328" s="1" t="n">
        <v>45644.59047453704</v>
      </c>
      <c r="C328" s="1" t="n">
        <v>46132</v>
      </c>
      <c r="D328" t="inlineStr">
        <is>
          <t>KRONOBERGS LÄN</t>
        </is>
      </c>
      <c r="E328" t="inlineStr">
        <is>
          <t>TINGSRYD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42167-2025</t>
        </is>
      </c>
      <c r="B329" s="1" t="n">
        <v>45904.42247685185</v>
      </c>
      <c r="C329" s="1" t="n">
        <v>46132</v>
      </c>
      <c r="D329" t="inlineStr">
        <is>
          <t>KRONOBERGS LÄN</t>
        </is>
      </c>
      <c r="E329" t="inlineStr">
        <is>
          <t>TINGSRYD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42111-2025</t>
        </is>
      </c>
      <c r="B330" s="1" t="n">
        <v>45904.31614583333</v>
      </c>
      <c r="C330" s="1" t="n">
        <v>46132</v>
      </c>
      <c r="D330" t="inlineStr">
        <is>
          <t>KRONOBERGS LÄN</t>
        </is>
      </c>
      <c r="E330" t="inlineStr">
        <is>
          <t>TINGSRYD</t>
        </is>
      </c>
      <c r="F330" t="inlineStr">
        <is>
          <t>Kommuner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28843-2024</t>
        </is>
      </c>
      <c r="B331" s="1" t="n">
        <v>45478.71304398148</v>
      </c>
      <c r="C331" s="1" t="n">
        <v>46132</v>
      </c>
      <c r="D331" t="inlineStr">
        <is>
          <t>KRONOBERGS LÄN</t>
        </is>
      </c>
      <c r="E331" t="inlineStr">
        <is>
          <t>TINGSRYD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35854-2024</t>
        </is>
      </c>
      <c r="B332" s="1" t="n">
        <v>45533.27699074074</v>
      </c>
      <c r="C332" s="1" t="n">
        <v>46132</v>
      </c>
      <c r="D332" t="inlineStr">
        <is>
          <t>KRONOBERGS LÄN</t>
        </is>
      </c>
      <c r="E332" t="inlineStr">
        <is>
          <t>TINGSRYD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28226-2024</t>
        </is>
      </c>
      <c r="B333" s="1" t="n">
        <v>45477.37409722222</v>
      </c>
      <c r="C333" s="1" t="n">
        <v>46132</v>
      </c>
      <c r="D333" t="inlineStr">
        <is>
          <t>KRONOBERGS LÄN</t>
        </is>
      </c>
      <c r="E333" t="inlineStr">
        <is>
          <t>TINGSRYD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14391-2024</t>
        </is>
      </c>
      <c r="B334" s="1" t="n">
        <v>45394.33961805556</v>
      </c>
      <c r="C334" s="1" t="n">
        <v>46132</v>
      </c>
      <c r="D334" t="inlineStr">
        <is>
          <t>KRONOBERGS LÄN</t>
        </is>
      </c>
      <c r="E334" t="inlineStr">
        <is>
          <t>TINGSRYD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41978-2025</t>
        </is>
      </c>
      <c r="B335" s="1" t="n">
        <v>45903.51274305556</v>
      </c>
      <c r="C335" s="1" t="n">
        <v>46132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60499-2022</t>
        </is>
      </c>
      <c r="B336" s="1" t="n">
        <v>44911</v>
      </c>
      <c r="C336" s="1" t="n">
        <v>46132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4878-2024</t>
        </is>
      </c>
      <c r="B337" s="1" t="n">
        <v>45329</v>
      </c>
      <c r="C337" s="1" t="n">
        <v>46132</v>
      </c>
      <c r="D337" t="inlineStr">
        <is>
          <t>KRONOBERGS LÄN</t>
        </is>
      </c>
      <c r="E337" t="inlineStr">
        <is>
          <t>TINGSRYD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59088-2024</t>
        </is>
      </c>
      <c r="B338" s="1" t="n">
        <v>45637.3166087963</v>
      </c>
      <c r="C338" s="1" t="n">
        <v>46132</v>
      </c>
      <c r="D338" t="inlineStr">
        <is>
          <t>KRONOBERGS LÄN</t>
        </is>
      </c>
      <c r="E338" t="inlineStr">
        <is>
          <t>TINGSRYD</t>
        </is>
      </c>
      <c r="F338" t="inlineStr">
        <is>
          <t>Övriga Aktiebolag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58864-2022</t>
        </is>
      </c>
      <c r="B339" s="1" t="n">
        <v>44895</v>
      </c>
      <c r="C339" s="1" t="n">
        <v>46132</v>
      </c>
      <c r="D339" t="inlineStr">
        <is>
          <t>KRONOBERGS LÄN</t>
        </is>
      </c>
      <c r="E339" t="inlineStr">
        <is>
          <t>TINGSRYD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3971-2025</t>
        </is>
      </c>
      <c r="B340" s="1" t="n">
        <v>45684.52679398148</v>
      </c>
      <c r="C340" s="1" t="n">
        <v>46132</v>
      </c>
      <c r="D340" t="inlineStr">
        <is>
          <t>KRONOBERGS LÄN</t>
        </is>
      </c>
      <c r="E340" t="inlineStr">
        <is>
          <t>TINGSRYD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23530-2025</t>
        </is>
      </c>
      <c r="B341" s="1" t="n">
        <v>45792.53266203704</v>
      </c>
      <c r="C341" s="1" t="n">
        <v>46132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37359-2024</t>
        </is>
      </c>
      <c r="B342" s="1" t="n">
        <v>45540.55045138889</v>
      </c>
      <c r="C342" s="1" t="n">
        <v>46132</v>
      </c>
      <c r="D342" t="inlineStr">
        <is>
          <t>KRONOBERGS LÄN</t>
        </is>
      </c>
      <c r="E342" t="inlineStr">
        <is>
          <t>TINGSRYD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56860-2021</t>
        </is>
      </c>
      <c r="B343" s="1" t="n">
        <v>44481.71746527778</v>
      </c>
      <c r="C343" s="1" t="n">
        <v>46132</v>
      </c>
      <c r="D343" t="inlineStr">
        <is>
          <t>KRONOBERGS LÄN</t>
        </is>
      </c>
      <c r="E343" t="inlineStr">
        <is>
          <t>TINGSRYD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25739-2025</t>
        </is>
      </c>
      <c r="B344" s="1" t="n">
        <v>45803.84655092593</v>
      </c>
      <c r="C344" s="1" t="n">
        <v>46132</v>
      </c>
      <c r="D344" t="inlineStr">
        <is>
          <t>KRONOBERGS LÄN</t>
        </is>
      </c>
      <c r="E344" t="inlineStr">
        <is>
          <t>TINGSRYD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11541-2025</t>
        </is>
      </c>
      <c r="B345" s="1" t="n">
        <v>45727</v>
      </c>
      <c r="C345" s="1" t="n">
        <v>46132</v>
      </c>
      <c r="D345" t="inlineStr">
        <is>
          <t>KRONOBERGS LÄN</t>
        </is>
      </c>
      <c r="E345" t="inlineStr">
        <is>
          <t>TINGSRYD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42860-2025</t>
        </is>
      </c>
      <c r="B346" s="1" t="n">
        <v>45908.6147337963</v>
      </c>
      <c r="C346" s="1" t="n">
        <v>46132</v>
      </c>
      <c r="D346" t="inlineStr">
        <is>
          <t>KRONOBERGS LÄN</t>
        </is>
      </c>
      <c r="E346" t="inlineStr">
        <is>
          <t>TINGSRYD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22576-2025</t>
        </is>
      </c>
      <c r="B347" s="1" t="n">
        <v>45789.36847222222</v>
      </c>
      <c r="C347" s="1" t="n">
        <v>46132</v>
      </c>
      <c r="D347" t="inlineStr">
        <is>
          <t>KRONOBERGS LÄN</t>
        </is>
      </c>
      <c r="E347" t="inlineStr">
        <is>
          <t>TINGSRYD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42598-2025</t>
        </is>
      </c>
      <c r="B348" s="1" t="n">
        <v>45905.66465277778</v>
      </c>
      <c r="C348" s="1" t="n">
        <v>46132</v>
      </c>
      <c r="D348" t="inlineStr">
        <is>
          <t>KRONOBERGS LÄN</t>
        </is>
      </c>
      <c r="E348" t="inlineStr">
        <is>
          <t>TINGSRYD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42858-2025</t>
        </is>
      </c>
      <c r="B349" s="1" t="n">
        <v>45908.61346064815</v>
      </c>
      <c r="C349" s="1" t="n">
        <v>46132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5893-2025</t>
        </is>
      </c>
      <c r="B350" s="1" t="n">
        <v>45695.38659722222</v>
      </c>
      <c r="C350" s="1" t="n">
        <v>46132</v>
      </c>
      <c r="D350" t="inlineStr">
        <is>
          <t>KRONOBERGS LÄN</t>
        </is>
      </c>
      <c r="E350" t="inlineStr">
        <is>
          <t>TINGSRYD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9742-2024</t>
        </is>
      </c>
      <c r="B351" s="1" t="n">
        <v>45362</v>
      </c>
      <c r="C351" s="1" t="n">
        <v>46132</v>
      </c>
      <c r="D351" t="inlineStr">
        <is>
          <t>KRONOBERGS LÄN</t>
        </is>
      </c>
      <c r="E351" t="inlineStr">
        <is>
          <t>TINGSRYD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61659-2024</t>
        </is>
      </c>
      <c r="B352" s="1" t="n">
        <v>45646.8040625</v>
      </c>
      <c r="C352" s="1" t="n">
        <v>46132</v>
      </c>
      <c r="D352" t="inlineStr">
        <is>
          <t>KRONOBERGS LÄN</t>
        </is>
      </c>
      <c r="E352" t="inlineStr">
        <is>
          <t>TINGSRYD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42765-2025</t>
        </is>
      </c>
      <c r="B353" s="1" t="n">
        <v>45908.47</v>
      </c>
      <c r="C353" s="1" t="n">
        <v>46132</v>
      </c>
      <c r="D353" t="inlineStr">
        <is>
          <t>KRONOBERGS LÄN</t>
        </is>
      </c>
      <c r="E353" t="inlineStr">
        <is>
          <t>TINGSRYD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26311-2025</t>
        </is>
      </c>
      <c r="B354" s="1" t="n">
        <v>45805.65516203704</v>
      </c>
      <c r="C354" s="1" t="n">
        <v>46132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525-2025</t>
        </is>
      </c>
      <c r="B355" s="1" t="n">
        <v>45664.49270833333</v>
      </c>
      <c r="C355" s="1" t="n">
        <v>46132</v>
      </c>
      <c r="D355" t="inlineStr">
        <is>
          <t>KRONOBERGS LÄN</t>
        </is>
      </c>
      <c r="E355" t="inlineStr">
        <is>
          <t>TINGSRYD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43126-2025</t>
        </is>
      </c>
      <c r="B356" s="1" t="n">
        <v>45909.74082175926</v>
      </c>
      <c r="C356" s="1" t="n">
        <v>46132</v>
      </c>
      <c r="D356" t="inlineStr">
        <is>
          <t>KRONOBERGS LÄN</t>
        </is>
      </c>
      <c r="E356" t="inlineStr">
        <is>
          <t>TINGSRYD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59604-2022</t>
        </is>
      </c>
      <c r="B357" s="1" t="n">
        <v>44907.72450231481</v>
      </c>
      <c r="C357" s="1" t="n">
        <v>46132</v>
      </c>
      <c r="D357" t="inlineStr">
        <is>
          <t>KRONOBERGS LÄN</t>
        </is>
      </c>
      <c r="E357" t="inlineStr">
        <is>
          <t>TINGSRYD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37152-2024</t>
        </is>
      </c>
      <c r="B358" s="1" t="n">
        <v>45539.60410879629</v>
      </c>
      <c r="C358" s="1" t="n">
        <v>46132</v>
      </c>
      <c r="D358" t="inlineStr">
        <is>
          <t>KRONOBERGS LÄN</t>
        </is>
      </c>
      <c r="E358" t="inlineStr">
        <is>
          <t>TINGSRYD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43491-2025</t>
        </is>
      </c>
      <c r="B359" s="1" t="n">
        <v>45911.51158564815</v>
      </c>
      <c r="C359" s="1" t="n">
        <v>46132</v>
      </c>
      <c r="D359" t="inlineStr">
        <is>
          <t>KRONOBERGS LÄN</t>
        </is>
      </c>
      <c r="E359" t="inlineStr">
        <is>
          <t>TINGSRYD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6139-2022</t>
        </is>
      </c>
      <c r="B360" s="1" t="n">
        <v>44599.69871527778</v>
      </c>
      <c r="C360" s="1" t="n">
        <v>46132</v>
      </c>
      <c r="D360" t="inlineStr">
        <is>
          <t>KRONOBERGS LÄN</t>
        </is>
      </c>
      <c r="E360" t="inlineStr">
        <is>
          <t>TINGSRYD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43486-2025</t>
        </is>
      </c>
      <c r="B361" s="1" t="n">
        <v>45911.5083912037</v>
      </c>
      <c r="C361" s="1" t="n">
        <v>46132</v>
      </c>
      <c r="D361" t="inlineStr">
        <is>
          <t>KRONOBERGS LÄN</t>
        </is>
      </c>
      <c r="E361" t="inlineStr">
        <is>
          <t>TINGSRYD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602-2023</t>
        </is>
      </c>
      <c r="B362" s="1" t="n">
        <v>44930.58310185185</v>
      </c>
      <c r="C362" s="1" t="n">
        <v>46132</v>
      </c>
      <c r="D362" t="inlineStr">
        <is>
          <t>KRONOBERGS LÄN</t>
        </is>
      </c>
      <c r="E362" t="inlineStr">
        <is>
          <t>TINGSRYD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26983-2025</t>
        </is>
      </c>
      <c r="B363" s="1" t="n">
        <v>45811.49784722222</v>
      </c>
      <c r="C363" s="1" t="n">
        <v>46132</v>
      </c>
      <c r="D363" t="inlineStr">
        <is>
          <t>KRONOBERGS LÄN</t>
        </is>
      </c>
      <c r="E363" t="inlineStr">
        <is>
          <t>TINGSRYD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54425-2025</t>
        </is>
      </c>
      <c r="B364" s="1" t="n">
        <v>45964</v>
      </c>
      <c r="C364" s="1" t="n">
        <v>46132</v>
      </c>
      <c r="D364" t="inlineStr">
        <is>
          <t>KRONOBERGS LÄN</t>
        </is>
      </c>
      <c r="E364" t="inlineStr">
        <is>
          <t>TINGSRYD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11934-2023</t>
        </is>
      </c>
      <c r="B365" s="1" t="n">
        <v>44995</v>
      </c>
      <c r="C365" s="1" t="n">
        <v>46132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54146-2025</t>
        </is>
      </c>
      <c r="B366" s="1" t="n">
        <v>45964.48408564815</v>
      </c>
      <c r="C366" s="1" t="n">
        <v>46132</v>
      </c>
      <c r="D366" t="inlineStr">
        <is>
          <t>KRONOBERGS LÄN</t>
        </is>
      </c>
      <c r="E366" t="inlineStr">
        <is>
          <t>TINGSRYD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37215-2023</t>
        </is>
      </c>
      <c r="B367" s="1" t="n">
        <v>45155.72224537037</v>
      </c>
      <c r="C367" s="1" t="n">
        <v>46132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55070-2025</t>
        </is>
      </c>
      <c r="B368" s="1" t="n">
        <v>45967.75966435186</v>
      </c>
      <c r="C368" s="1" t="n">
        <v>46132</v>
      </c>
      <c r="D368" t="inlineStr">
        <is>
          <t>KRONOBERGS LÄN</t>
        </is>
      </c>
      <c r="E368" t="inlineStr">
        <is>
          <t>TINGSRYD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44776-2025</t>
        </is>
      </c>
      <c r="B369" s="1" t="n">
        <v>45917.84770833333</v>
      </c>
      <c r="C369" s="1" t="n">
        <v>46132</v>
      </c>
      <c r="D369" t="inlineStr">
        <is>
          <t>KRONOBERGS LÄN</t>
        </is>
      </c>
      <c r="E369" t="inlineStr">
        <is>
          <t>TINGSRYD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41881-2024</t>
        </is>
      </c>
      <c r="B370" s="1" t="n">
        <v>45561</v>
      </c>
      <c r="C370" s="1" t="n">
        <v>46132</v>
      </c>
      <c r="D370" t="inlineStr">
        <is>
          <t>KRONOBERGS LÄN</t>
        </is>
      </c>
      <c r="E370" t="inlineStr">
        <is>
          <t>TINGSRYD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40005-2024</t>
        </is>
      </c>
      <c r="B371" s="1" t="n">
        <v>45553.64894675926</v>
      </c>
      <c r="C371" s="1" t="n">
        <v>46132</v>
      </c>
      <c r="D371" t="inlineStr">
        <is>
          <t>KRONOBERGS LÄN</t>
        </is>
      </c>
      <c r="E371" t="inlineStr">
        <is>
          <t>TINGSRYD</t>
        </is>
      </c>
      <c r="F371" t="inlineStr">
        <is>
          <t>Sveaskog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208-2023</t>
        </is>
      </c>
      <c r="B372" s="1" t="n">
        <v>44928</v>
      </c>
      <c r="C372" s="1" t="n">
        <v>46132</v>
      </c>
      <c r="D372" t="inlineStr">
        <is>
          <t>KRONOBERGS LÄN</t>
        </is>
      </c>
      <c r="E372" t="inlineStr">
        <is>
          <t>TINGSRYD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12875-2023</t>
        </is>
      </c>
      <c r="B373" s="1" t="n">
        <v>45001</v>
      </c>
      <c r="C373" s="1" t="n">
        <v>46132</v>
      </c>
      <c r="D373" t="inlineStr">
        <is>
          <t>KRONOBERGS LÄN</t>
        </is>
      </c>
      <c r="E373" t="inlineStr">
        <is>
          <t>TINGSRYD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17844-2024</t>
        </is>
      </c>
      <c r="B374" s="1" t="n">
        <v>45418</v>
      </c>
      <c r="C374" s="1" t="n">
        <v>46132</v>
      </c>
      <c r="D374" t="inlineStr">
        <is>
          <t>KRONOBERGS LÄN</t>
        </is>
      </c>
      <c r="E374" t="inlineStr">
        <is>
          <t>TINGSRYD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45439-2025</t>
        </is>
      </c>
      <c r="B375" s="1" t="n">
        <v>45922.47166666666</v>
      </c>
      <c r="C375" s="1" t="n">
        <v>46132</v>
      </c>
      <c r="D375" t="inlineStr">
        <is>
          <t>KRONOBERGS LÄN</t>
        </is>
      </c>
      <c r="E375" t="inlineStr">
        <is>
          <t>TINGSRYD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45474-2025</t>
        </is>
      </c>
      <c r="B376" s="1" t="n">
        <v>45922.51623842592</v>
      </c>
      <c r="C376" s="1" t="n">
        <v>46132</v>
      </c>
      <c r="D376" t="inlineStr">
        <is>
          <t>KRONOBERGS LÄN</t>
        </is>
      </c>
      <c r="E376" t="inlineStr">
        <is>
          <t>TINGSRYD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45475-2025</t>
        </is>
      </c>
      <c r="B377" s="1" t="n">
        <v>45922.51841435185</v>
      </c>
      <c r="C377" s="1" t="n">
        <v>46132</v>
      </c>
      <c r="D377" t="inlineStr">
        <is>
          <t>KRONOBERGS LÄN</t>
        </is>
      </c>
      <c r="E377" t="inlineStr">
        <is>
          <t>TINGSRYD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13890-2023</t>
        </is>
      </c>
      <c r="B378" s="1" t="n">
        <v>45007.97726851852</v>
      </c>
      <c r="C378" s="1" t="n">
        <v>46132</v>
      </c>
      <c r="D378" t="inlineStr">
        <is>
          <t>KRONOBERGS LÄN</t>
        </is>
      </c>
      <c r="E378" t="inlineStr">
        <is>
          <t>TINGSRYD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7409-2023</t>
        </is>
      </c>
      <c r="B379" s="1" t="n">
        <v>44971.51954861111</v>
      </c>
      <c r="C379" s="1" t="n">
        <v>46132</v>
      </c>
      <c r="D379" t="inlineStr">
        <is>
          <t>KRONOBERGS LÄN</t>
        </is>
      </c>
      <c r="E379" t="inlineStr">
        <is>
          <t>TINGSRYD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45140-2025</t>
        </is>
      </c>
      <c r="B380" s="1" t="n">
        <v>45919.45515046296</v>
      </c>
      <c r="C380" s="1" t="n">
        <v>46132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45240-2025</t>
        </is>
      </c>
      <c r="B381" s="1" t="n">
        <v>45919.59701388889</v>
      </c>
      <c r="C381" s="1" t="n">
        <v>46132</v>
      </c>
      <c r="D381" t="inlineStr">
        <is>
          <t>KRONOBERGS LÄN</t>
        </is>
      </c>
      <c r="E381" t="inlineStr">
        <is>
          <t>TINGSRYD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45441-2025</t>
        </is>
      </c>
      <c r="B382" s="1" t="n">
        <v>45922.47278935185</v>
      </c>
      <c r="C382" s="1" t="n">
        <v>46132</v>
      </c>
      <c r="D382" t="inlineStr">
        <is>
          <t>KRONOBERGS LÄN</t>
        </is>
      </c>
      <c r="E382" t="inlineStr">
        <is>
          <t>TINGSRYD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14636-2023</t>
        </is>
      </c>
      <c r="B383" s="1" t="n">
        <v>45012</v>
      </c>
      <c r="C383" s="1" t="n">
        <v>46132</v>
      </c>
      <c r="D383" t="inlineStr">
        <is>
          <t>KRONOBERGS LÄN</t>
        </is>
      </c>
      <c r="E383" t="inlineStr">
        <is>
          <t>TINGSRYD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14808-2023</t>
        </is>
      </c>
      <c r="B384" s="1" t="n">
        <v>45014</v>
      </c>
      <c r="C384" s="1" t="n">
        <v>46132</v>
      </c>
      <c r="D384" t="inlineStr">
        <is>
          <t>KRONOBERGS LÄN</t>
        </is>
      </c>
      <c r="E384" t="inlineStr">
        <is>
          <t>TINGSRYD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17026-2022</t>
        </is>
      </c>
      <c r="B385" s="1" t="n">
        <v>44676</v>
      </c>
      <c r="C385" s="1" t="n">
        <v>46132</v>
      </c>
      <c r="D385" t="inlineStr">
        <is>
          <t>KRONOBERGS LÄN</t>
        </is>
      </c>
      <c r="E385" t="inlineStr">
        <is>
          <t>TINGSRYD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3589-2023</t>
        </is>
      </c>
      <c r="B386" s="1" t="n">
        <v>44950.55974537037</v>
      </c>
      <c r="C386" s="1" t="n">
        <v>46132</v>
      </c>
      <c r="D386" t="inlineStr">
        <is>
          <t>KRONOBERGS LÄN</t>
        </is>
      </c>
      <c r="E386" t="inlineStr">
        <is>
          <t>TINGSRYD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45337-2025</t>
        </is>
      </c>
      <c r="B387" s="1" t="n">
        <v>45922.34325231481</v>
      </c>
      <c r="C387" s="1" t="n">
        <v>46132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6322-2023</t>
        </is>
      </c>
      <c r="B388" s="1" t="n">
        <v>44965.48167824074</v>
      </c>
      <c r="C388" s="1" t="n">
        <v>46132</v>
      </c>
      <c r="D388" t="inlineStr">
        <is>
          <t>KRONOBERGS LÄN</t>
        </is>
      </c>
      <c r="E388" t="inlineStr">
        <is>
          <t>TINGSRYD</t>
        </is>
      </c>
      <c r="F388" t="inlineStr">
        <is>
          <t>Kommuner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2864-2023</t>
        </is>
      </c>
      <c r="B389" s="1" t="n">
        <v>44945.43136574074</v>
      </c>
      <c r="C389" s="1" t="n">
        <v>46132</v>
      </c>
      <c r="D389" t="inlineStr">
        <is>
          <t>KRONOBERGS LÄN</t>
        </is>
      </c>
      <c r="E389" t="inlineStr">
        <is>
          <t>TINGSRYD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61442-2023</t>
        </is>
      </c>
      <c r="B390" s="1" t="n">
        <v>45264</v>
      </c>
      <c r="C390" s="1" t="n">
        <v>46132</v>
      </c>
      <c r="D390" t="inlineStr">
        <is>
          <t>KRONOBERGS LÄN</t>
        </is>
      </c>
      <c r="E390" t="inlineStr">
        <is>
          <t>TINGSRYD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61445-2023</t>
        </is>
      </c>
      <c r="B391" s="1" t="n">
        <v>45264.80452546296</v>
      </c>
      <c r="C391" s="1" t="n">
        <v>46132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45890-2025</t>
        </is>
      </c>
      <c r="B392" s="1" t="n">
        <v>45923.674375</v>
      </c>
      <c r="C392" s="1" t="n">
        <v>46132</v>
      </c>
      <c r="D392" t="inlineStr">
        <is>
          <t>KRONOBERGS LÄN</t>
        </is>
      </c>
      <c r="E392" t="inlineStr">
        <is>
          <t>TINGSRYD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1928-2023</t>
        </is>
      </c>
      <c r="B393" s="1" t="n">
        <v>44939</v>
      </c>
      <c r="C393" s="1" t="n">
        <v>46132</v>
      </c>
      <c r="D393" t="inlineStr">
        <is>
          <t>KRONOBERGS LÄN</t>
        </is>
      </c>
      <c r="E393" t="inlineStr">
        <is>
          <t>TINGSRYD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55759-2025</t>
        </is>
      </c>
      <c r="B394" s="1" t="n">
        <v>45972.59927083334</v>
      </c>
      <c r="C394" s="1" t="n">
        <v>46132</v>
      </c>
      <c r="D394" t="inlineStr">
        <is>
          <t>KRONOBERGS LÄN</t>
        </is>
      </c>
      <c r="E394" t="inlineStr">
        <is>
          <t>TINGSRYD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45896-2025</t>
        </is>
      </c>
      <c r="B395" s="1" t="n">
        <v>45923.67896990741</v>
      </c>
      <c r="C395" s="1" t="n">
        <v>46132</v>
      </c>
      <c r="D395" t="inlineStr">
        <is>
          <t>KRONOBERGS LÄN</t>
        </is>
      </c>
      <c r="E395" t="inlineStr">
        <is>
          <t>TINGSRYD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46072-2025</t>
        </is>
      </c>
      <c r="B396" s="1" t="n">
        <v>45924.49310185185</v>
      </c>
      <c r="C396" s="1" t="n">
        <v>46132</v>
      </c>
      <c r="D396" t="inlineStr">
        <is>
          <t>KRONOBERGS LÄN</t>
        </is>
      </c>
      <c r="E396" t="inlineStr">
        <is>
          <t>TINGSRYD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16536-2023</t>
        </is>
      </c>
      <c r="B397" s="1" t="n">
        <v>45029.70599537037</v>
      </c>
      <c r="C397" s="1" t="n">
        <v>46132</v>
      </c>
      <c r="D397" t="inlineStr">
        <is>
          <t>KRONOBERGS LÄN</t>
        </is>
      </c>
      <c r="E397" t="inlineStr">
        <is>
          <t>TINGSRYD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28732-2025</t>
        </is>
      </c>
      <c r="B398" s="1" t="n">
        <v>45820.36880787037</v>
      </c>
      <c r="C398" s="1" t="n">
        <v>46132</v>
      </c>
      <c r="D398" t="inlineStr">
        <is>
          <t>KRONOBERGS LÄN</t>
        </is>
      </c>
      <c r="E398" t="inlineStr">
        <is>
          <t>TINGSRYD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55973-2023</t>
        </is>
      </c>
      <c r="B399" s="1" t="n">
        <v>45240.3635300926</v>
      </c>
      <c r="C399" s="1" t="n">
        <v>46132</v>
      </c>
      <c r="D399" t="inlineStr">
        <is>
          <t>KRONOBERGS LÄN</t>
        </is>
      </c>
      <c r="E399" t="inlineStr">
        <is>
          <t>TINGSRYD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23821-2025</t>
        </is>
      </c>
      <c r="B400" s="1" t="n">
        <v>45793.58851851852</v>
      </c>
      <c r="C400" s="1" t="n">
        <v>46132</v>
      </c>
      <c r="D400" t="inlineStr">
        <is>
          <t>KRONOBERGS LÄN</t>
        </is>
      </c>
      <c r="E400" t="inlineStr">
        <is>
          <t>TINGSRYD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25742-2025</t>
        </is>
      </c>
      <c r="B401" s="1" t="n">
        <v>45803.88311342592</v>
      </c>
      <c r="C401" s="1" t="n">
        <v>46132</v>
      </c>
      <c r="D401" t="inlineStr">
        <is>
          <t>KRONOBERGS LÄN</t>
        </is>
      </c>
      <c r="E401" t="inlineStr">
        <is>
          <t>TINGSRYD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46087-2025</t>
        </is>
      </c>
      <c r="B402" s="1" t="n">
        <v>45924</v>
      </c>
      <c r="C402" s="1" t="n">
        <v>46132</v>
      </c>
      <c r="D402" t="inlineStr">
        <is>
          <t>KRONOBERGS LÄN</t>
        </is>
      </c>
      <c r="E402" t="inlineStr">
        <is>
          <t>TINGSRYD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40016-2024</t>
        </is>
      </c>
      <c r="B403" s="1" t="n">
        <v>45553.66137731481</v>
      </c>
      <c r="C403" s="1" t="n">
        <v>46132</v>
      </c>
      <c r="D403" t="inlineStr">
        <is>
          <t>KRONOBERGS LÄN</t>
        </is>
      </c>
      <c r="E403" t="inlineStr">
        <is>
          <t>TINGSRYD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1350-2023</t>
        </is>
      </c>
      <c r="B404" s="1" t="n">
        <v>44936.61140046296</v>
      </c>
      <c r="C404" s="1" t="n">
        <v>46132</v>
      </c>
      <c r="D404" t="inlineStr">
        <is>
          <t>KRONOBERGS LÄN</t>
        </is>
      </c>
      <c r="E404" t="inlineStr">
        <is>
          <t>TINGSRYD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1364-2023</t>
        </is>
      </c>
      <c r="B405" s="1" t="n">
        <v>44936</v>
      </c>
      <c r="C405" s="1" t="n">
        <v>46132</v>
      </c>
      <c r="D405" t="inlineStr">
        <is>
          <t>KRONOBERGS LÄN</t>
        </is>
      </c>
      <c r="E405" t="inlineStr">
        <is>
          <t>TINGSRYD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43462-2024</t>
        </is>
      </c>
      <c r="B406" s="1" t="n">
        <v>45568</v>
      </c>
      <c r="C406" s="1" t="n">
        <v>46132</v>
      </c>
      <c r="D406" t="inlineStr">
        <is>
          <t>KRONOBERGS LÄN</t>
        </is>
      </c>
      <c r="E406" t="inlineStr">
        <is>
          <t>TINGSRYD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46486-2025</t>
        </is>
      </c>
      <c r="B407" s="1" t="n">
        <v>45925.70990740741</v>
      </c>
      <c r="C407" s="1" t="n">
        <v>46132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46558-2025</t>
        </is>
      </c>
      <c r="B408" s="1" t="n">
        <v>45926.32541666667</v>
      </c>
      <c r="C408" s="1" t="n">
        <v>46132</v>
      </c>
      <c r="D408" t="inlineStr">
        <is>
          <t>KRONOBERGS LÄN</t>
        </is>
      </c>
      <c r="E408" t="inlineStr">
        <is>
          <t>TINGSRYD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55318-2025</t>
        </is>
      </c>
      <c r="B409" s="1" t="n">
        <v>45971.28083333333</v>
      </c>
      <c r="C409" s="1" t="n">
        <v>46132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9647-2022</t>
        </is>
      </c>
      <c r="B410" s="1" t="n">
        <v>44617.58907407407</v>
      </c>
      <c r="C410" s="1" t="n">
        <v>46132</v>
      </c>
      <c r="D410" t="inlineStr">
        <is>
          <t>KRONOBERGS LÄN</t>
        </is>
      </c>
      <c r="E410" t="inlineStr">
        <is>
          <t>TINGSRYD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28965-2025</t>
        </is>
      </c>
      <c r="B411" s="1" t="n">
        <v>45821.34012731481</v>
      </c>
      <c r="C411" s="1" t="n">
        <v>46132</v>
      </c>
      <c r="D411" t="inlineStr">
        <is>
          <t>KRONOBERGS LÄN</t>
        </is>
      </c>
      <c r="E411" t="inlineStr">
        <is>
          <t>TINGSRYD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38961-2024</t>
        </is>
      </c>
      <c r="B412" s="1" t="n">
        <v>45548.36065972222</v>
      </c>
      <c r="C412" s="1" t="n">
        <v>46132</v>
      </c>
      <c r="D412" t="inlineStr">
        <is>
          <t>KRONOBERGS LÄN</t>
        </is>
      </c>
      <c r="E412" t="inlineStr">
        <is>
          <t>TINGSRYD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37189-2023</t>
        </is>
      </c>
      <c r="B413" s="1" t="n">
        <v>45155</v>
      </c>
      <c r="C413" s="1" t="n">
        <v>46132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37195-2023</t>
        </is>
      </c>
      <c r="B414" s="1" t="n">
        <v>45155</v>
      </c>
      <c r="C414" s="1" t="n">
        <v>46132</v>
      </c>
      <c r="D414" t="inlineStr">
        <is>
          <t>KRONOBERGS LÄN</t>
        </is>
      </c>
      <c r="E414" t="inlineStr">
        <is>
          <t>TINGSRYD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46289-2025</t>
        </is>
      </c>
      <c r="B415" s="1" t="n">
        <v>45925.38702546297</v>
      </c>
      <c r="C415" s="1" t="n">
        <v>46132</v>
      </c>
      <c r="D415" t="inlineStr">
        <is>
          <t>KRONOBERGS LÄN</t>
        </is>
      </c>
      <c r="E415" t="inlineStr">
        <is>
          <t>TINGSRYD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28947-2025</t>
        </is>
      </c>
      <c r="B416" s="1" t="n">
        <v>45820.78407407407</v>
      </c>
      <c r="C416" s="1" t="n">
        <v>46132</v>
      </c>
      <c r="D416" t="inlineStr">
        <is>
          <t>KRONOBERGS LÄN</t>
        </is>
      </c>
      <c r="E416" t="inlineStr">
        <is>
          <t>TINGSRYD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46728-2025</t>
        </is>
      </c>
      <c r="B417" s="1" t="n">
        <v>45926.59025462963</v>
      </c>
      <c r="C417" s="1" t="n">
        <v>46132</v>
      </c>
      <c r="D417" t="inlineStr">
        <is>
          <t>KRONOBERGS LÄN</t>
        </is>
      </c>
      <c r="E417" t="inlineStr">
        <is>
          <t>TINGSRYD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46616-2025</t>
        </is>
      </c>
      <c r="B418" s="1" t="n">
        <v>45926.43168981482</v>
      </c>
      <c r="C418" s="1" t="n">
        <v>46132</v>
      </c>
      <c r="D418" t="inlineStr">
        <is>
          <t>KRONOBERGS LÄN</t>
        </is>
      </c>
      <c r="E418" t="inlineStr">
        <is>
          <t>TINGSRYD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47270-2025</t>
        </is>
      </c>
      <c r="B419" s="1" t="n">
        <v>45930.46203703704</v>
      </c>
      <c r="C419" s="1" t="n">
        <v>46132</v>
      </c>
      <c r="D419" t="inlineStr">
        <is>
          <t>KRONOBERGS LÄN</t>
        </is>
      </c>
      <c r="E419" t="inlineStr">
        <is>
          <t>TINGSRYD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9866-2022</t>
        </is>
      </c>
      <c r="B420" s="1" t="n">
        <v>44620.55774305556</v>
      </c>
      <c r="C420" s="1" t="n">
        <v>46132</v>
      </c>
      <c r="D420" t="inlineStr">
        <is>
          <t>KRONOBERGS LÄN</t>
        </is>
      </c>
      <c r="E420" t="inlineStr">
        <is>
          <t>TINGSRYD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53256-2024</t>
        </is>
      </c>
      <c r="B421" s="1" t="n">
        <v>45614.33466435185</v>
      </c>
      <c r="C421" s="1" t="n">
        <v>46132</v>
      </c>
      <c r="D421" t="inlineStr">
        <is>
          <t>KRONOBERGS LÄN</t>
        </is>
      </c>
      <c r="E421" t="inlineStr">
        <is>
          <t>TINGSRYD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20896-2024</t>
        </is>
      </c>
      <c r="B422" s="1" t="n">
        <v>45439.46791666667</v>
      </c>
      <c r="C422" s="1" t="n">
        <v>46132</v>
      </c>
      <c r="D422" t="inlineStr">
        <is>
          <t>KRONOBERGS LÄN</t>
        </is>
      </c>
      <c r="E422" t="inlineStr">
        <is>
          <t>TINGSRYD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47587-2025</t>
        </is>
      </c>
      <c r="B423" s="1" t="n">
        <v>45931.43657407408</v>
      </c>
      <c r="C423" s="1" t="n">
        <v>46132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29602-2025</t>
        </is>
      </c>
      <c r="B424" s="1" t="n">
        <v>45825.41503472222</v>
      </c>
      <c r="C424" s="1" t="n">
        <v>46132</v>
      </c>
      <c r="D424" t="inlineStr">
        <is>
          <t>KRONOBERGS LÄN</t>
        </is>
      </c>
      <c r="E424" t="inlineStr">
        <is>
          <t>TINGSRYD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59089-2024</t>
        </is>
      </c>
      <c r="B425" s="1" t="n">
        <v>45637.31768518518</v>
      </c>
      <c r="C425" s="1" t="n">
        <v>46132</v>
      </c>
      <c r="D425" t="inlineStr">
        <is>
          <t>KRONOBERGS LÄN</t>
        </is>
      </c>
      <c r="E425" t="inlineStr">
        <is>
          <t>TINGSRYD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30230-2025</t>
        </is>
      </c>
      <c r="B426" s="1" t="n">
        <v>45827.38292824074</v>
      </c>
      <c r="C426" s="1" t="n">
        <v>46132</v>
      </c>
      <c r="D426" t="inlineStr">
        <is>
          <t>KRONOBERGS LÄN</t>
        </is>
      </c>
      <c r="E426" t="inlineStr">
        <is>
          <t>TINGSRYD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46-2023</t>
        </is>
      </c>
      <c r="B427" s="1" t="n">
        <v>44928.39131944445</v>
      </c>
      <c r="C427" s="1" t="n">
        <v>46132</v>
      </c>
      <c r="D427" t="inlineStr">
        <is>
          <t>KRONOBERGS LÄN</t>
        </is>
      </c>
      <c r="E427" t="inlineStr">
        <is>
          <t>TINGSRYD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22641-2023</t>
        </is>
      </c>
      <c r="B428" s="1" t="n">
        <v>45071</v>
      </c>
      <c r="C428" s="1" t="n">
        <v>46132</v>
      </c>
      <c r="D428" t="inlineStr">
        <is>
          <t>KRONOBERGS LÄN</t>
        </is>
      </c>
      <c r="E428" t="inlineStr">
        <is>
          <t>TINGSRYD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47922-2025</t>
        </is>
      </c>
      <c r="B429" s="1" t="n">
        <v>45932.53429398148</v>
      </c>
      <c r="C429" s="1" t="n">
        <v>46132</v>
      </c>
      <c r="D429" t="inlineStr">
        <is>
          <t>KRONOBERGS LÄN</t>
        </is>
      </c>
      <c r="E429" t="inlineStr">
        <is>
          <t>TINGSRYD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30840-2025</t>
        </is>
      </c>
      <c r="B430" s="1" t="n">
        <v>45831.74694444444</v>
      </c>
      <c r="C430" s="1" t="n">
        <v>46132</v>
      </c>
      <c r="D430" t="inlineStr">
        <is>
          <t>KRONOBERGS LÄN</t>
        </is>
      </c>
      <c r="E430" t="inlineStr">
        <is>
          <t>TINGSRYD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7176-2024</t>
        </is>
      </c>
      <c r="B431" s="1" t="n">
        <v>45344</v>
      </c>
      <c r="C431" s="1" t="n">
        <v>46132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7989-2022</t>
        </is>
      </c>
      <c r="B432" s="1" t="n">
        <v>44609</v>
      </c>
      <c r="C432" s="1" t="n">
        <v>46132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48093-2025</t>
        </is>
      </c>
      <c r="B433" s="1" t="n">
        <v>45933.29821759259</v>
      </c>
      <c r="C433" s="1" t="n">
        <v>46132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30842-2025</t>
        </is>
      </c>
      <c r="B434" s="1" t="n">
        <v>45831.75487268518</v>
      </c>
      <c r="C434" s="1" t="n">
        <v>46132</v>
      </c>
      <c r="D434" t="inlineStr">
        <is>
          <t>KRONOBERGS LÄN</t>
        </is>
      </c>
      <c r="E434" t="inlineStr">
        <is>
          <t>TINGSRYD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31047-2025</t>
        </is>
      </c>
      <c r="B435" s="1" t="n">
        <v>45832.55674768519</v>
      </c>
      <c r="C435" s="1" t="n">
        <v>46132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54229-2021</t>
        </is>
      </c>
      <c r="B436" s="1" t="n">
        <v>44470</v>
      </c>
      <c r="C436" s="1" t="n">
        <v>46132</v>
      </c>
      <c r="D436" t="inlineStr">
        <is>
          <t>KRONOBERGS LÄN</t>
        </is>
      </c>
      <c r="E436" t="inlineStr">
        <is>
          <t>TINGSRYD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31002-2025</t>
        </is>
      </c>
      <c r="B437" s="1" t="n">
        <v>45832.49506944444</v>
      </c>
      <c r="C437" s="1" t="n">
        <v>46132</v>
      </c>
      <c r="D437" t="inlineStr">
        <is>
          <t>KRONOBERGS LÄN</t>
        </is>
      </c>
      <c r="E437" t="inlineStr">
        <is>
          <t>TINGSRYD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41-2023</t>
        </is>
      </c>
      <c r="B438" s="1" t="n">
        <v>44928.37655092592</v>
      </c>
      <c r="C438" s="1" t="n">
        <v>46132</v>
      </c>
      <c r="D438" t="inlineStr">
        <is>
          <t>KRONOBERGS LÄN</t>
        </is>
      </c>
      <c r="E438" t="inlineStr">
        <is>
          <t>TINGSRYD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42947-2023</t>
        </is>
      </c>
      <c r="B439" s="1" t="n">
        <v>45182</v>
      </c>
      <c r="C439" s="1" t="n">
        <v>46132</v>
      </c>
      <c r="D439" t="inlineStr">
        <is>
          <t>KRONOBERGS LÄN</t>
        </is>
      </c>
      <c r="E439" t="inlineStr">
        <is>
          <t>TINGSRYD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38476-2023</t>
        </is>
      </c>
      <c r="B440" s="1" t="n">
        <v>45162.46358796296</v>
      </c>
      <c r="C440" s="1" t="n">
        <v>46132</v>
      </c>
      <c r="D440" t="inlineStr">
        <is>
          <t>KRONOBERGS LÄN</t>
        </is>
      </c>
      <c r="E440" t="inlineStr">
        <is>
          <t>TINGSRYD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5827-2023</t>
        </is>
      </c>
      <c r="B441" s="1" t="n">
        <v>44963</v>
      </c>
      <c r="C441" s="1" t="n">
        <v>46132</v>
      </c>
      <c r="D441" t="inlineStr">
        <is>
          <t>KRONOBERGS LÄN</t>
        </is>
      </c>
      <c r="E441" t="inlineStr">
        <is>
          <t>TINGSRYD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26183-2023</t>
        </is>
      </c>
      <c r="B442" s="1" t="n">
        <v>45091</v>
      </c>
      <c r="C442" s="1" t="n">
        <v>46132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48157-2025</t>
        </is>
      </c>
      <c r="B443" s="1" t="n">
        <v>45933.41994212963</v>
      </c>
      <c r="C443" s="1" t="n">
        <v>46132</v>
      </c>
      <c r="D443" t="inlineStr">
        <is>
          <t>KRONOBERGS LÄN</t>
        </is>
      </c>
      <c r="E443" t="inlineStr">
        <is>
          <t>TINGSRYD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48874-2025</t>
        </is>
      </c>
      <c r="B444" s="1" t="n">
        <v>45937.45518518519</v>
      </c>
      <c r="C444" s="1" t="n">
        <v>46132</v>
      </c>
      <c r="D444" t="inlineStr">
        <is>
          <t>KRONOBERGS LÄN</t>
        </is>
      </c>
      <c r="E444" t="inlineStr">
        <is>
          <t>TINGSRYD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48880-2025</t>
        </is>
      </c>
      <c r="B445" s="1" t="n">
        <v>45937.45954861111</v>
      </c>
      <c r="C445" s="1" t="n">
        <v>46132</v>
      </c>
      <c r="D445" t="inlineStr">
        <is>
          <t>KRONOBERGS LÄN</t>
        </is>
      </c>
      <c r="E445" t="inlineStr">
        <is>
          <t>TINGSRYD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31462-2025</t>
        </is>
      </c>
      <c r="B446" s="1" t="n">
        <v>45833.55179398148</v>
      </c>
      <c r="C446" s="1" t="n">
        <v>46132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18432-2022</t>
        </is>
      </c>
      <c r="B447" s="1" t="n">
        <v>44685</v>
      </c>
      <c r="C447" s="1" t="n">
        <v>46132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18435-2022</t>
        </is>
      </c>
      <c r="B448" s="1" t="n">
        <v>44685</v>
      </c>
      <c r="C448" s="1" t="n">
        <v>46132</v>
      </c>
      <c r="D448" t="inlineStr">
        <is>
          <t>KRONOBERGS LÄN</t>
        </is>
      </c>
      <c r="E448" t="inlineStr">
        <is>
          <t>TINGSRYD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31466-2025</t>
        </is>
      </c>
      <c r="B449" s="1" t="n">
        <v>45833.55715277778</v>
      </c>
      <c r="C449" s="1" t="n">
        <v>46132</v>
      </c>
      <c r="D449" t="inlineStr">
        <is>
          <t>KRONOBERGS LÄN</t>
        </is>
      </c>
      <c r="E449" t="inlineStr">
        <is>
          <t>TINGSRYD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31765-2025</t>
        </is>
      </c>
      <c r="B450" s="1" t="n">
        <v>45834.49486111111</v>
      </c>
      <c r="C450" s="1" t="n">
        <v>46132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49308-2025</t>
        </is>
      </c>
      <c r="B451" s="1" t="n">
        <v>45938.56199074074</v>
      </c>
      <c r="C451" s="1" t="n">
        <v>46132</v>
      </c>
      <c r="D451" t="inlineStr">
        <is>
          <t>KRONOBERGS LÄN</t>
        </is>
      </c>
      <c r="E451" t="inlineStr">
        <is>
          <t>TINGSRYD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11352-2023</t>
        </is>
      </c>
      <c r="B452" s="1" t="n">
        <v>44993.38681712963</v>
      </c>
      <c r="C452" s="1" t="n">
        <v>46132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42994-2023</t>
        </is>
      </c>
      <c r="B453" s="1" t="n">
        <v>45182</v>
      </c>
      <c r="C453" s="1" t="n">
        <v>46132</v>
      </c>
      <c r="D453" t="inlineStr">
        <is>
          <t>KRONOBERGS LÄN</t>
        </is>
      </c>
      <c r="E453" t="inlineStr">
        <is>
          <t>TINGSRYD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23632-2023</t>
        </is>
      </c>
      <c r="B454" s="1" t="n">
        <v>45077.50006944445</v>
      </c>
      <c r="C454" s="1" t="n">
        <v>46132</v>
      </c>
      <c r="D454" t="inlineStr">
        <is>
          <t>KRONOBERGS LÄN</t>
        </is>
      </c>
      <c r="E454" t="inlineStr">
        <is>
          <t>TINGSRYD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49250-2021</t>
        </is>
      </c>
      <c r="B455" s="1" t="n">
        <v>44454</v>
      </c>
      <c r="C455" s="1" t="n">
        <v>46132</v>
      </c>
      <c r="D455" t="inlineStr">
        <is>
          <t>KRONOBERGS LÄN</t>
        </is>
      </c>
      <c r="E455" t="inlineStr">
        <is>
          <t>TINGSRYD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16810-2022</t>
        </is>
      </c>
      <c r="B456" s="1" t="n">
        <v>44673.64371527778</v>
      </c>
      <c r="C456" s="1" t="n">
        <v>46132</v>
      </c>
      <c r="D456" t="inlineStr">
        <is>
          <t>KRONOBERGS LÄN</t>
        </is>
      </c>
      <c r="E456" t="inlineStr">
        <is>
          <t>TINGSRYD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32493-2025</t>
        </is>
      </c>
      <c r="B457" s="1" t="n">
        <v>45838.44895833333</v>
      </c>
      <c r="C457" s="1" t="n">
        <v>46132</v>
      </c>
      <c r="D457" t="inlineStr">
        <is>
          <t>KRONOBERGS LÄN</t>
        </is>
      </c>
      <c r="E457" t="inlineStr">
        <is>
          <t>TINGSRYD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53278-2024</t>
        </is>
      </c>
      <c r="B458" s="1" t="n">
        <v>45614.3747337963</v>
      </c>
      <c r="C458" s="1" t="n">
        <v>46132</v>
      </c>
      <c r="D458" t="inlineStr">
        <is>
          <t>KRONOBERGS LÄN</t>
        </is>
      </c>
      <c r="E458" t="inlineStr">
        <is>
          <t>TINGSRYD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20221-2024</t>
        </is>
      </c>
      <c r="B459" s="1" t="n">
        <v>45434.6920949074</v>
      </c>
      <c r="C459" s="1" t="n">
        <v>46132</v>
      </c>
      <c r="D459" t="inlineStr">
        <is>
          <t>KRONOBERGS LÄN</t>
        </is>
      </c>
      <c r="E459" t="inlineStr">
        <is>
          <t>TINGSRYD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29661-2023</t>
        </is>
      </c>
      <c r="B460" s="1" t="n">
        <v>45107.30564814815</v>
      </c>
      <c r="C460" s="1" t="n">
        <v>46132</v>
      </c>
      <c r="D460" t="inlineStr">
        <is>
          <t>KRONOBERGS LÄN</t>
        </is>
      </c>
      <c r="E460" t="inlineStr">
        <is>
          <t>TINGSRYD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9791-2022</t>
        </is>
      </c>
      <c r="B461" s="1" t="n">
        <v>44620.35722222222</v>
      </c>
      <c r="C461" s="1" t="n">
        <v>46132</v>
      </c>
      <c r="D461" t="inlineStr">
        <is>
          <t>KRONOBERGS LÄN</t>
        </is>
      </c>
      <c r="E461" t="inlineStr">
        <is>
          <t>TINGSRYD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49734-2025</t>
        </is>
      </c>
      <c r="B462" s="1" t="n">
        <v>45940.00979166666</v>
      </c>
      <c r="C462" s="1" t="n">
        <v>46132</v>
      </c>
      <c r="D462" t="inlineStr">
        <is>
          <t>KRONOBERGS LÄN</t>
        </is>
      </c>
      <c r="E462" t="inlineStr">
        <is>
          <t>TINGSRYD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18638-2025</t>
        </is>
      </c>
      <c r="B463" s="1" t="n">
        <v>45763.56696759259</v>
      </c>
      <c r="C463" s="1" t="n">
        <v>46132</v>
      </c>
      <c r="D463" t="inlineStr">
        <is>
          <t>KRONOBERGS LÄN</t>
        </is>
      </c>
      <c r="E463" t="inlineStr">
        <is>
          <t>TINGSRYD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33094-2025</t>
        </is>
      </c>
      <c r="B464" s="1" t="n">
        <v>45840.47287037037</v>
      </c>
      <c r="C464" s="1" t="n">
        <v>46132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32884-2025</t>
        </is>
      </c>
      <c r="B465" s="1" t="n">
        <v>45839.59809027778</v>
      </c>
      <c r="C465" s="1" t="n">
        <v>46132</v>
      </c>
      <c r="D465" t="inlineStr">
        <is>
          <t>KRONOBERGS LÄN</t>
        </is>
      </c>
      <c r="E465" t="inlineStr">
        <is>
          <t>TINGSRYD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40353-2025</t>
        </is>
      </c>
      <c r="B466" s="1" t="n">
        <v>45895.48666666666</v>
      </c>
      <c r="C466" s="1" t="n">
        <v>46132</v>
      </c>
      <c r="D466" t="inlineStr">
        <is>
          <t>KRONOBERGS LÄN</t>
        </is>
      </c>
      <c r="E466" t="inlineStr">
        <is>
          <t>TINGSRYD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17063-2023</t>
        </is>
      </c>
      <c r="B467" s="1" t="n">
        <v>45034.46636574074</v>
      </c>
      <c r="C467" s="1" t="n">
        <v>46132</v>
      </c>
      <c r="D467" t="inlineStr">
        <is>
          <t>KRONOBERGS LÄN</t>
        </is>
      </c>
      <c r="E467" t="inlineStr">
        <is>
          <t>TINGSRYD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52077-2021</t>
        </is>
      </c>
      <c r="B468" s="1" t="n">
        <v>44463</v>
      </c>
      <c r="C468" s="1" t="n">
        <v>46132</v>
      </c>
      <c r="D468" t="inlineStr">
        <is>
          <t>KRONOBERGS LÄN</t>
        </is>
      </c>
      <c r="E468" t="inlineStr">
        <is>
          <t>TINGSRYD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32879-2025</t>
        </is>
      </c>
      <c r="B469" s="1" t="n">
        <v>45839.59554398148</v>
      </c>
      <c r="C469" s="1" t="n">
        <v>46132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50279-2025</t>
        </is>
      </c>
      <c r="B470" s="1" t="n">
        <v>45944.38280092592</v>
      </c>
      <c r="C470" s="1" t="n">
        <v>46132</v>
      </c>
      <c r="D470" t="inlineStr">
        <is>
          <t>KRONOBERGS LÄN</t>
        </is>
      </c>
      <c r="E470" t="inlineStr">
        <is>
          <t>TINGSRYD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51652-2021</t>
        </is>
      </c>
      <c r="B471" s="1" t="n">
        <v>44462</v>
      </c>
      <c r="C471" s="1" t="n">
        <v>46132</v>
      </c>
      <c r="D471" t="inlineStr">
        <is>
          <t>KRONOBERGS LÄN</t>
        </is>
      </c>
      <c r="E471" t="inlineStr">
        <is>
          <t>TINGSRYD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45666-2024</t>
        </is>
      </c>
      <c r="B472" s="1" t="n">
        <v>45579</v>
      </c>
      <c r="C472" s="1" t="n">
        <v>46132</v>
      </c>
      <c r="D472" t="inlineStr">
        <is>
          <t>KRONOBERGS LÄN</t>
        </is>
      </c>
      <c r="E472" t="inlineStr">
        <is>
          <t>TINGSRYD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33721-2025</t>
        </is>
      </c>
      <c r="B473" s="1" t="n">
        <v>45841.90819444445</v>
      </c>
      <c r="C473" s="1" t="n">
        <v>46132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44667-2024</t>
        </is>
      </c>
      <c r="B474" s="1" t="n">
        <v>45574</v>
      </c>
      <c r="C474" s="1" t="n">
        <v>46132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44670-2024</t>
        </is>
      </c>
      <c r="B475" s="1" t="n">
        <v>45574</v>
      </c>
      <c r="C475" s="1" t="n">
        <v>46132</v>
      </c>
      <c r="D475" t="inlineStr">
        <is>
          <t>KRONOBERGS LÄN</t>
        </is>
      </c>
      <c r="E475" t="inlineStr">
        <is>
          <t>TINGSRYD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44734-2024</t>
        </is>
      </c>
      <c r="B476" s="1" t="n">
        <v>45574.59</v>
      </c>
      <c r="C476" s="1" t="n">
        <v>46132</v>
      </c>
      <c r="D476" t="inlineStr">
        <is>
          <t>KRONOBERGS LÄN</t>
        </is>
      </c>
      <c r="E476" t="inlineStr">
        <is>
          <t>TINGSRYD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33565-2025</t>
        </is>
      </c>
      <c r="B477" s="1" t="n">
        <v>45841</v>
      </c>
      <c r="C477" s="1" t="n">
        <v>46132</v>
      </c>
      <c r="D477" t="inlineStr">
        <is>
          <t>KRONOBERGS LÄN</t>
        </is>
      </c>
      <c r="E477" t="inlineStr">
        <is>
          <t>TINGSRYD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46020-2024</t>
        </is>
      </c>
      <c r="B478" s="1" t="n">
        <v>45580.68637731481</v>
      </c>
      <c r="C478" s="1" t="n">
        <v>46132</v>
      </c>
      <c r="D478" t="inlineStr">
        <is>
          <t>KRONOBERGS LÄN</t>
        </is>
      </c>
      <c r="E478" t="inlineStr">
        <is>
          <t>TINGSRYD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46021-2024</t>
        </is>
      </c>
      <c r="B479" s="1" t="n">
        <v>45580.6872337963</v>
      </c>
      <c r="C479" s="1" t="n">
        <v>46132</v>
      </c>
      <c r="D479" t="inlineStr">
        <is>
          <t>KRONOBERGS LÄN</t>
        </is>
      </c>
      <c r="E479" t="inlineStr">
        <is>
          <t>TINGSRYD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9815-2023</t>
        </is>
      </c>
      <c r="B480" s="1" t="n">
        <v>44984</v>
      </c>
      <c r="C480" s="1" t="n">
        <v>46132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4077-2024</t>
        </is>
      </c>
      <c r="B481" s="1" t="n">
        <v>45323.60738425926</v>
      </c>
      <c r="C481" s="1" t="n">
        <v>46132</v>
      </c>
      <c r="D481" t="inlineStr">
        <is>
          <t>KRONOBERGS LÄN</t>
        </is>
      </c>
      <c r="E481" t="inlineStr">
        <is>
          <t>TINGSRYD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1707-2024</t>
        </is>
      </c>
      <c r="B482" s="1" t="n">
        <v>45307.39928240741</v>
      </c>
      <c r="C482" s="1" t="n">
        <v>46132</v>
      </c>
      <c r="D482" t="inlineStr">
        <is>
          <t>KRONOBERGS LÄN</t>
        </is>
      </c>
      <c r="E482" t="inlineStr">
        <is>
          <t>TINGSRYD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33722-2025</t>
        </is>
      </c>
      <c r="B483" s="1" t="n">
        <v>45841.91457175926</v>
      </c>
      <c r="C483" s="1" t="n">
        <v>46132</v>
      </c>
      <c r="D483" t="inlineStr">
        <is>
          <t>KRONOBERGS LÄN</t>
        </is>
      </c>
      <c r="E483" t="inlineStr">
        <is>
          <t>TINGSRYD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14125-2023</t>
        </is>
      </c>
      <c r="B484" s="1" t="n">
        <v>45007</v>
      </c>
      <c r="C484" s="1" t="n">
        <v>46132</v>
      </c>
      <c r="D484" t="inlineStr">
        <is>
          <t>KRONOBERGS LÄN</t>
        </is>
      </c>
      <c r="E484" t="inlineStr">
        <is>
          <t>TINGSRYD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19481-2021</t>
        </is>
      </c>
      <c r="B485" s="1" t="n">
        <v>44312.30976851852</v>
      </c>
      <c r="C485" s="1" t="n">
        <v>46132</v>
      </c>
      <c r="D485" t="inlineStr">
        <is>
          <t>KRONOBERGS LÄN</t>
        </is>
      </c>
      <c r="E485" t="inlineStr">
        <is>
          <t>TINGSRYD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52168-2024</t>
        </is>
      </c>
      <c r="B486" s="1" t="n">
        <v>45608</v>
      </c>
      <c r="C486" s="1" t="n">
        <v>46132</v>
      </c>
      <c r="D486" t="inlineStr">
        <is>
          <t>KRONOBERGS LÄN</t>
        </is>
      </c>
      <c r="E486" t="inlineStr">
        <is>
          <t>TINGSRYD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2805-2025</t>
        </is>
      </c>
      <c r="B487" s="1" t="n">
        <v>45677.59115740741</v>
      </c>
      <c r="C487" s="1" t="n">
        <v>46132</v>
      </c>
      <c r="D487" t="inlineStr">
        <is>
          <t>KRONOBERGS LÄN</t>
        </is>
      </c>
      <c r="E487" t="inlineStr">
        <is>
          <t>TINGSRYD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34743-2025</t>
        </is>
      </c>
      <c r="B488" s="1" t="n">
        <v>45848.61209490741</v>
      </c>
      <c r="C488" s="1" t="n">
        <v>46132</v>
      </c>
      <c r="D488" t="inlineStr">
        <is>
          <t>KRONOBERGS LÄN</t>
        </is>
      </c>
      <c r="E488" t="inlineStr">
        <is>
          <t>TINGSRYD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34745-2025</t>
        </is>
      </c>
      <c r="B489" s="1" t="n">
        <v>45848.61425925926</v>
      </c>
      <c r="C489" s="1" t="n">
        <v>46132</v>
      </c>
      <c r="D489" t="inlineStr">
        <is>
          <t>KRONOBERGS LÄN</t>
        </is>
      </c>
      <c r="E489" t="inlineStr">
        <is>
          <t>TINGSRYD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24886-2024</t>
        </is>
      </c>
      <c r="B490" s="1" t="n">
        <v>45461.56465277778</v>
      </c>
      <c r="C490" s="1" t="n">
        <v>46132</v>
      </c>
      <c r="D490" t="inlineStr">
        <is>
          <t>KRONOBERGS LÄN</t>
        </is>
      </c>
      <c r="E490" t="inlineStr">
        <is>
          <t>TINGSRYD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72450-2021</t>
        </is>
      </c>
      <c r="B491" s="1" t="n">
        <v>44545.69655092592</v>
      </c>
      <c r="C491" s="1" t="n">
        <v>46132</v>
      </c>
      <c r="D491" t="inlineStr">
        <is>
          <t>KRONOBERGS LÄN</t>
        </is>
      </c>
      <c r="E491" t="inlineStr">
        <is>
          <t>TINGSRYD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32016-2023</t>
        </is>
      </c>
      <c r="B492" s="1" t="n">
        <v>45119.4822337963</v>
      </c>
      <c r="C492" s="1" t="n">
        <v>46132</v>
      </c>
      <c r="D492" t="inlineStr">
        <is>
          <t>KRONOBERGS LÄN</t>
        </is>
      </c>
      <c r="E492" t="inlineStr">
        <is>
          <t>TINGSRYD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21161-2023</t>
        </is>
      </c>
      <c r="B493" s="1" t="n">
        <v>45062.41892361111</v>
      </c>
      <c r="C493" s="1" t="n">
        <v>46132</v>
      </c>
      <c r="D493" t="inlineStr">
        <is>
          <t>KRONOBERGS LÄN</t>
        </is>
      </c>
      <c r="E493" t="inlineStr">
        <is>
          <t>TINGSRYD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48687-2021</t>
        </is>
      </c>
      <c r="B494" s="1" t="n">
        <v>44452.5708912037</v>
      </c>
      <c r="C494" s="1" t="n">
        <v>46132</v>
      </c>
      <c r="D494" t="inlineStr">
        <is>
          <t>KRONOBERGS LÄN</t>
        </is>
      </c>
      <c r="E494" t="inlineStr">
        <is>
          <t>TINGSRYD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14247-2023</t>
        </is>
      </c>
      <c r="B495" s="1" t="n">
        <v>45009.68813657408</v>
      </c>
      <c r="C495" s="1" t="n">
        <v>46132</v>
      </c>
      <c r="D495" t="inlineStr">
        <is>
          <t>KRONOBERGS LÄN</t>
        </is>
      </c>
      <c r="E495" t="inlineStr">
        <is>
          <t>TINGSRYD</t>
        </is>
      </c>
      <c r="F495" t="inlineStr">
        <is>
          <t>Sveaskog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11496-2023</t>
        </is>
      </c>
      <c r="B496" s="1" t="n">
        <v>44993.65773148148</v>
      </c>
      <c r="C496" s="1" t="n">
        <v>46132</v>
      </c>
      <c r="D496" t="inlineStr">
        <is>
          <t>KRONOBERGS LÄN</t>
        </is>
      </c>
      <c r="E496" t="inlineStr">
        <is>
          <t>TINGSRYD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16377-2025</t>
        </is>
      </c>
      <c r="B497" s="1" t="n">
        <v>45751.41162037037</v>
      </c>
      <c r="C497" s="1" t="n">
        <v>46132</v>
      </c>
      <c r="D497" t="inlineStr">
        <is>
          <t>KRONOBERGS LÄN</t>
        </is>
      </c>
      <c r="E497" t="inlineStr">
        <is>
          <t>TINGSRYD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27307-2023</t>
        </is>
      </c>
      <c r="B498" s="1" t="n">
        <v>45096.65381944444</v>
      </c>
      <c r="C498" s="1" t="n">
        <v>46132</v>
      </c>
      <c r="D498" t="inlineStr">
        <is>
          <t>KRONOBERGS LÄN</t>
        </is>
      </c>
      <c r="E498" t="inlineStr">
        <is>
          <t>TINGSRYD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52694-2024</t>
        </is>
      </c>
      <c r="B499" s="1" t="n">
        <v>45610.40166666666</v>
      </c>
      <c r="C499" s="1" t="n">
        <v>46132</v>
      </c>
      <c r="D499" t="inlineStr">
        <is>
          <t>KRONOBERGS LÄN</t>
        </is>
      </c>
      <c r="E499" t="inlineStr">
        <is>
          <t>TINGSRYD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13081-2023</t>
        </is>
      </c>
      <c r="B500" s="1" t="n">
        <v>45002.41061342593</v>
      </c>
      <c r="C500" s="1" t="n">
        <v>46132</v>
      </c>
      <c r="D500" t="inlineStr">
        <is>
          <t>KRONOBERGS LÄN</t>
        </is>
      </c>
      <c r="E500" t="inlineStr">
        <is>
          <t>TINGSRYD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2471-2025</t>
        </is>
      </c>
      <c r="B501" s="1" t="n">
        <v>45674.4733449074</v>
      </c>
      <c r="C501" s="1" t="n">
        <v>46132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27115-2023</t>
        </is>
      </c>
      <c r="B502" s="1" t="n">
        <v>45093</v>
      </c>
      <c r="C502" s="1" t="n">
        <v>46132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12108-2023</t>
        </is>
      </c>
      <c r="B503" s="1" t="n">
        <v>44998.39121527778</v>
      </c>
      <c r="C503" s="1" t="n">
        <v>46132</v>
      </c>
      <c r="D503" t="inlineStr">
        <is>
          <t>KRONOBERGS LÄN</t>
        </is>
      </c>
      <c r="E503" t="inlineStr">
        <is>
          <t>TINGSRYD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38861-2024</t>
        </is>
      </c>
      <c r="B504" s="1" t="n">
        <v>45547</v>
      </c>
      <c r="C504" s="1" t="n">
        <v>46132</v>
      </c>
      <c r="D504" t="inlineStr">
        <is>
          <t>KRONOBERGS LÄN</t>
        </is>
      </c>
      <c r="E504" t="inlineStr">
        <is>
          <t>TINGSRYD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57020-2025</t>
        </is>
      </c>
      <c r="B505" s="1" t="n">
        <v>45978.8705787037</v>
      </c>
      <c r="C505" s="1" t="n">
        <v>46132</v>
      </c>
      <c r="D505" t="inlineStr">
        <is>
          <t>KRONOBERGS LÄN</t>
        </is>
      </c>
      <c r="E505" t="inlineStr">
        <is>
          <t>TINGSRYD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3818-2023</t>
        </is>
      </c>
      <c r="B506" s="1" t="n">
        <v>44951</v>
      </c>
      <c r="C506" s="1" t="n">
        <v>46132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57258-2025</t>
        </is>
      </c>
      <c r="B507" s="1" t="n">
        <v>45979.6515162037</v>
      </c>
      <c r="C507" s="1" t="n">
        <v>46132</v>
      </c>
      <c r="D507" t="inlineStr">
        <is>
          <t>KRONOBERGS LÄN</t>
        </is>
      </c>
      <c r="E507" t="inlineStr">
        <is>
          <t>TINGSRYD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3991-2025</t>
        </is>
      </c>
      <c r="B508" s="1" t="n">
        <v>45684.55832175926</v>
      </c>
      <c r="C508" s="1" t="n">
        <v>46132</v>
      </c>
      <c r="D508" t="inlineStr">
        <is>
          <t>KRONOBERGS LÄN</t>
        </is>
      </c>
      <c r="E508" t="inlineStr">
        <is>
          <t>TINGSRYD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39747-2024</t>
        </is>
      </c>
      <c r="B509" s="1" t="n">
        <v>45552.66143518518</v>
      </c>
      <c r="C509" s="1" t="n">
        <v>46132</v>
      </c>
      <c r="D509" t="inlineStr">
        <is>
          <t>KRONOBERGS LÄN</t>
        </is>
      </c>
      <c r="E509" t="inlineStr">
        <is>
          <t>TINGSRYD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25941-2023</t>
        </is>
      </c>
      <c r="B510" s="1" t="n">
        <v>45090.69401620371</v>
      </c>
      <c r="C510" s="1" t="n">
        <v>46132</v>
      </c>
      <c r="D510" t="inlineStr">
        <is>
          <t>KRONOBERGS LÄN</t>
        </is>
      </c>
      <c r="E510" t="inlineStr">
        <is>
          <t>TINGSRYD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57440-2025</t>
        </is>
      </c>
      <c r="B511" s="1" t="n">
        <v>45980</v>
      </c>
      <c r="C511" s="1" t="n">
        <v>46132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60746-2024</t>
        </is>
      </c>
      <c r="B512" s="1" t="n">
        <v>45644.55795138889</v>
      </c>
      <c r="C512" s="1" t="n">
        <v>46132</v>
      </c>
      <c r="D512" t="inlineStr">
        <is>
          <t>KRONOBERGS LÄN</t>
        </is>
      </c>
      <c r="E512" t="inlineStr">
        <is>
          <t>TINGSRYD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6151-2025</t>
        </is>
      </c>
      <c r="B513" s="1" t="n">
        <v>45698.40377314815</v>
      </c>
      <c r="C513" s="1" t="n">
        <v>46132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57379-2024</t>
        </is>
      </c>
      <c r="B514" s="1" t="n">
        <v>45629.67857638889</v>
      </c>
      <c r="C514" s="1" t="n">
        <v>46132</v>
      </c>
      <c r="D514" t="inlineStr">
        <is>
          <t>KRONOBERGS LÄN</t>
        </is>
      </c>
      <c r="E514" t="inlineStr">
        <is>
          <t>TINGSRYD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57382-2024</t>
        </is>
      </c>
      <c r="B515" s="1" t="n">
        <v>45629.68018518519</v>
      </c>
      <c r="C515" s="1" t="n">
        <v>46132</v>
      </c>
      <c r="D515" t="inlineStr">
        <is>
          <t>KRONOBERGS LÄN</t>
        </is>
      </c>
      <c r="E515" t="inlineStr">
        <is>
          <t>TINGSRYD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28506-2022</t>
        </is>
      </c>
      <c r="B516" s="1" t="n">
        <v>44748.32376157407</v>
      </c>
      <c r="C516" s="1" t="n">
        <v>46132</v>
      </c>
      <c r="D516" t="inlineStr">
        <is>
          <t>KRONOBERGS LÄN</t>
        </is>
      </c>
      <c r="E516" t="inlineStr">
        <is>
          <t>TINGSRYD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6937-2025</t>
        </is>
      </c>
      <c r="B517" s="1" t="n">
        <v>45701.45875</v>
      </c>
      <c r="C517" s="1" t="n">
        <v>46132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28176-2023</t>
        </is>
      </c>
      <c r="B518" s="1" t="n">
        <v>45099.52606481482</v>
      </c>
      <c r="C518" s="1" t="n">
        <v>46132</v>
      </c>
      <c r="D518" t="inlineStr">
        <is>
          <t>KRONOBERGS LÄN</t>
        </is>
      </c>
      <c r="E518" t="inlineStr">
        <is>
          <t>TINGSRYD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57884-2025</t>
        </is>
      </c>
      <c r="B519" s="1" t="n">
        <v>45981.67037037037</v>
      </c>
      <c r="C519" s="1" t="n">
        <v>46132</v>
      </c>
      <c r="D519" t="inlineStr">
        <is>
          <t>KRONOBERGS LÄN</t>
        </is>
      </c>
      <c r="E519" t="inlineStr">
        <is>
          <t>TINGSRYD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26421-2024</t>
        </is>
      </c>
      <c r="B520" s="1" t="n">
        <v>45469.46677083334</v>
      </c>
      <c r="C520" s="1" t="n">
        <v>46132</v>
      </c>
      <c r="D520" t="inlineStr">
        <is>
          <t>KRONOBERGS LÄN</t>
        </is>
      </c>
      <c r="E520" t="inlineStr">
        <is>
          <t>TINGSRYD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11619-2025</t>
        </is>
      </c>
      <c r="B521" s="1" t="n">
        <v>45727.4515625</v>
      </c>
      <c r="C521" s="1" t="n">
        <v>46132</v>
      </c>
      <c r="D521" t="inlineStr">
        <is>
          <t>KRONOBERGS LÄN</t>
        </is>
      </c>
      <c r="E521" t="inlineStr">
        <is>
          <t>TINGSRYD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54636-2024</t>
        </is>
      </c>
      <c r="B522" s="1" t="n">
        <v>45617.87607638889</v>
      </c>
      <c r="C522" s="1" t="n">
        <v>46132</v>
      </c>
      <c r="D522" t="inlineStr">
        <is>
          <t>KRONOBERGS LÄN</t>
        </is>
      </c>
      <c r="E522" t="inlineStr">
        <is>
          <t>TINGSRYD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32523-2023</t>
        </is>
      </c>
      <c r="B523" s="1" t="n">
        <v>45121.37194444444</v>
      </c>
      <c r="C523" s="1" t="n">
        <v>46132</v>
      </c>
      <c r="D523" t="inlineStr">
        <is>
          <t>KRONOBERGS LÄN</t>
        </is>
      </c>
      <c r="E523" t="inlineStr">
        <is>
          <t>TINGSRYD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25052-2024</t>
        </is>
      </c>
      <c r="B524" s="1" t="n">
        <v>45462</v>
      </c>
      <c r="C524" s="1" t="n">
        <v>46132</v>
      </c>
      <c r="D524" t="inlineStr">
        <is>
          <t>KRONOBERGS LÄN</t>
        </is>
      </c>
      <c r="E524" t="inlineStr">
        <is>
          <t>TINGSRYD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36782-2025</t>
        </is>
      </c>
      <c r="B525" s="1" t="n">
        <v>45873</v>
      </c>
      <c r="C525" s="1" t="n">
        <v>46132</v>
      </c>
      <c r="D525" t="inlineStr">
        <is>
          <t>KRONOBERGS LÄN</t>
        </is>
      </c>
      <c r="E525" t="inlineStr">
        <is>
          <t>TINGSRYD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36783-2025</t>
        </is>
      </c>
      <c r="B526" s="1" t="n">
        <v>45873.61965277778</v>
      </c>
      <c r="C526" s="1" t="n">
        <v>46132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36785-2025</t>
        </is>
      </c>
      <c r="B527" s="1" t="n">
        <v>45873.62280092593</v>
      </c>
      <c r="C527" s="1" t="n">
        <v>46132</v>
      </c>
      <c r="D527" t="inlineStr">
        <is>
          <t>KRONOBERGS LÄN</t>
        </is>
      </c>
      <c r="E527" t="inlineStr">
        <is>
          <t>TINGSRYD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36725-2025</t>
        </is>
      </c>
      <c r="B528" s="1" t="n">
        <v>45873.48318287037</v>
      </c>
      <c r="C528" s="1" t="n">
        <v>46132</v>
      </c>
      <c r="D528" t="inlineStr">
        <is>
          <t>KRONOBERGS LÄN</t>
        </is>
      </c>
      <c r="E528" t="inlineStr">
        <is>
          <t>TINGSRYD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57769-2025</t>
        </is>
      </c>
      <c r="B529" s="1" t="n">
        <v>45981.5594212963</v>
      </c>
      <c r="C529" s="1" t="n">
        <v>46132</v>
      </c>
      <c r="D529" t="inlineStr">
        <is>
          <t>KRONOBERGS LÄN</t>
        </is>
      </c>
      <c r="E529" t="inlineStr">
        <is>
          <t>TINGSRYD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10734-2025</t>
        </is>
      </c>
      <c r="B530" s="1" t="n">
        <v>45722</v>
      </c>
      <c r="C530" s="1" t="n">
        <v>46132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37002-2025</t>
        </is>
      </c>
      <c r="B531" s="1" t="n">
        <v>45874.68646990741</v>
      </c>
      <c r="C531" s="1" t="n">
        <v>46132</v>
      </c>
      <c r="D531" t="inlineStr">
        <is>
          <t>KRONOBERGS LÄN</t>
        </is>
      </c>
      <c r="E531" t="inlineStr">
        <is>
          <t>TINGSRYD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36707-2025</t>
        </is>
      </c>
      <c r="B532" s="1" t="n">
        <v>45873.45962962963</v>
      </c>
      <c r="C532" s="1" t="n">
        <v>46132</v>
      </c>
      <c r="D532" t="inlineStr">
        <is>
          <t>KRONOBERGS LÄN</t>
        </is>
      </c>
      <c r="E532" t="inlineStr">
        <is>
          <t>TINGSRYD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11977-2023</t>
        </is>
      </c>
      <c r="B533" s="1" t="n">
        <v>44994</v>
      </c>
      <c r="C533" s="1" t="n">
        <v>46132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57959-2025</t>
        </is>
      </c>
      <c r="B534" s="1" t="n">
        <v>45982</v>
      </c>
      <c r="C534" s="1" t="n">
        <v>46132</v>
      </c>
      <c r="D534" t="inlineStr">
        <is>
          <t>KRONOBERGS LÄN</t>
        </is>
      </c>
      <c r="E534" t="inlineStr">
        <is>
          <t>TINGSRYD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37157-2025</t>
        </is>
      </c>
      <c r="B535" s="1" t="n">
        <v>45875.59371527778</v>
      </c>
      <c r="C535" s="1" t="n">
        <v>46132</v>
      </c>
      <c r="D535" t="inlineStr">
        <is>
          <t>KRONOBERGS LÄN</t>
        </is>
      </c>
      <c r="E535" t="inlineStr">
        <is>
          <t>TINGSRYD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60214-2021</t>
        </is>
      </c>
      <c r="B536" s="1" t="n">
        <v>44495</v>
      </c>
      <c r="C536" s="1" t="n">
        <v>46132</v>
      </c>
      <c r="D536" t="inlineStr">
        <is>
          <t>KRONOBERGS LÄN</t>
        </is>
      </c>
      <c r="E536" t="inlineStr">
        <is>
          <t>TINGSRYD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37331-2025</t>
        </is>
      </c>
      <c r="B537" s="1" t="n">
        <v>45876.65726851852</v>
      </c>
      <c r="C537" s="1" t="n">
        <v>46132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63078-2021</t>
        </is>
      </c>
      <c r="B538" s="1" t="n">
        <v>44505.56627314815</v>
      </c>
      <c r="C538" s="1" t="n">
        <v>46132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37522-2025</t>
        </is>
      </c>
      <c r="B539" s="1" t="n">
        <v>45877</v>
      </c>
      <c r="C539" s="1" t="n">
        <v>46132</v>
      </c>
      <c r="D539" t="inlineStr">
        <is>
          <t>KRONOBERGS LÄN</t>
        </is>
      </c>
      <c r="E539" t="inlineStr">
        <is>
          <t>TINGSRYD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21157-2023</t>
        </is>
      </c>
      <c r="B540" s="1" t="n">
        <v>45062.41542824074</v>
      </c>
      <c r="C540" s="1" t="n">
        <v>46132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37780-2025</t>
        </is>
      </c>
      <c r="B541" s="1" t="n">
        <v>45880</v>
      </c>
      <c r="C541" s="1" t="n">
        <v>46132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38064-2025</t>
        </is>
      </c>
      <c r="B542" s="1" t="n">
        <v>45882.43188657407</v>
      </c>
      <c r="C542" s="1" t="n">
        <v>46132</v>
      </c>
      <c r="D542" t="inlineStr">
        <is>
          <t>KRONOBERGS LÄN</t>
        </is>
      </c>
      <c r="E542" t="inlineStr">
        <is>
          <t>TINGSRYD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37867-2025</t>
        </is>
      </c>
      <c r="B543" s="1" t="n">
        <v>45881.47059027778</v>
      </c>
      <c r="C543" s="1" t="n">
        <v>46132</v>
      </c>
      <c r="D543" t="inlineStr">
        <is>
          <t>KRONOBERGS LÄN</t>
        </is>
      </c>
      <c r="E543" t="inlineStr">
        <is>
          <t>TINGSRYD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37871-2025</t>
        </is>
      </c>
      <c r="B544" s="1" t="n">
        <v>45881.47516203704</v>
      </c>
      <c r="C544" s="1" t="n">
        <v>46132</v>
      </c>
      <c r="D544" t="inlineStr">
        <is>
          <t>KRONOBERGS LÄN</t>
        </is>
      </c>
      <c r="E544" t="inlineStr">
        <is>
          <t>TINGSRYD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24003-2023</t>
        </is>
      </c>
      <c r="B545" s="1" t="n">
        <v>45078.66384259259</v>
      </c>
      <c r="C545" s="1" t="n">
        <v>46132</v>
      </c>
      <c r="D545" t="inlineStr">
        <is>
          <t>KRONOBERGS LÄN</t>
        </is>
      </c>
      <c r="E545" t="inlineStr">
        <is>
          <t>TINGSRYD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17518-2023</t>
        </is>
      </c>
      <c r="B546" s="1" t="n">
        <v>45036</v>
      </c>
      <c r="C546" s="1" t="n">
        <v>46132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60627-2024</t>
        </is>
      </c>
      <c r="B547" s="1" t="n">
        <v>45644.39822916667</v>
      </c>
      <c r="C547" s="1" t="n">
        <v>46132</v>
      </c>
      <c r="D547" t="inlineStr">
        <is>
          <t>KRONOBERGS LÄN</t>
        </is>
      </c>
      <c r="E547" t="inlineStr">
        <is>
          <t>TINGSRYD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59584-2025</t>
        </is>
      </c>
      <c r="B548" s="1" t="n">
        <v>45992.3244212963</v>
      </c>
      <c r="C548" s="1" t="n">
        <v>46132</v>
      </c>
      <c r="D548" t="inlineStr">
        <is>
          <t>KRONOBERGS LÄN</t>
        </is>
      </c>
      <c r="E548" t="inlineStr">
        <is>
          <t>TINGSRYD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58781-2021</t>
        </is>
      </c>
      <c r="B549" s="1" t="n">
        <v>44489</v>
      </c>
      <c r="C549" s="1" t="n">
        <v>46132</v>
      </c>
      <c r="D549" t="inlineStr">
        <is>
          <t>KRONOBERGS LÄN</t>
        </is>
      </c>
      <c r="E549" t="inlineStr">
        <is>
          <t>TINGSRYD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17333-2023</t>
        </is>
      </c>
      <c r="B550" s="1" t="n">
        <v>45035.56302083333</v>
      </c>
      <c r="C550" s="1" t="n">
        <v>46132</v>
      </c>
      <c r="D550" t="inlineStr">
        <is>
          <t>KRONOBERGS LÄN</t>
        </is>
      </c>
      <c r="E550" t="inlineStr">
        <is>
          <t>TINGSRYD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68681-2021</t>
        </is>
      </c>
      <c r="B551" s="1" t="n">
        <v>44529</v>
      </c>
      <c r="C551" s="1" t="n">
        <v>46132</v>
      </c>
      <c r="D551" t="inlineStr">
        <is>
          <t>KRONOBERGS LÄN</t>
        </is>
      </c>
      <c r="E551" t="inlineStr">
        <is>
          <t>TINGSRYD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59667-2025</t>
        </is>
      </c>
      <c r="B552" s="1" t="n">
        <v>45992.45549768519</v>
      </c>
      <c r="C552" s="1" t="n">
        <v>46132</v>
      </c>
      <c r="D552" t="inlineStr">
        <is>
          <t>KRONOBERGS LÄN</t>
        </is>
      </c>
      <c r="E552" t="inlineStr">
        <is>
          <t>TINGSRYD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618-2023</t>
        </is>
      </c>
      <c r="B553" s="1" t="n">
        <v>44930.60707175926</v>
      </c>
      <c r="C553" s="1" t="n">
        <v>46132</v>
      </c>
      <c r="D553" t="inlineStr">
        <is>
          <t>KRONOBERGS LÄN</t>
        </is>
      </c>
      <c r="E553" t="inlineStr">
        <is>
          <t>TINGSRYD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2952-2025</t>
        </is>
      </c>
      <c r="B554" s="1" t="n">
        <v>45678.43621527778</v>
      </c>
      <c r="C554" s="1" t="n">
        <v>46132</v>
      </c>
      <c r="D554" t="inlineStr">
        <is>
          <t>KRONOBERGS LÄN</t>
        </is>
      </c>
      <c r="E554" t="inlineStr">
        <is>
          <t>TINGSRYD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39992-2023</t>
        </is>
      </c>
      <c r="B555" s="1" t="n">
        <v>45167</v>
      </c>
      <c r="C555" s="1" t="n">
        <v>46132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44299-2023</t>
        </is>
      </c>
      <c r="B556" s="1" t="n">
        <v>45188</v>
      </c>
      <c r="C556" s="1" t="n">
        <v>46132</v>
      </c>
      <c r="D556" t="inlineStr">
        <is>
          <t>KRONOBERGS LÄN</t>
        </is>
      </c>
      <c r="E556" t="inlineStr">
        <is>
          <t>TINGSRYD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8604-2025</t>
        </is>
      </c>
      <c r="B557" s="1" t="n">
        <v>45710.3284375</v>
      </c>
      <c r="C557" s="1" t="n">
        <v>46132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62222-2023</t>
        </is>
      </c>
      <c r="B558" s="1" t="n">
        <v>45267.54662037037</v>
      </c>
      <c r="C558" s="1" t="n">
        <v>46132</v>
      </c>
      <c r="D558" t="inlineStr">
        <is>
          <t>KRONOBERGS LÄN</t>
        </is>
      </c>
      <c r="E558" t="inlineStr">
        <is>
          <t>TINGSRYD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59918-2025</t>
        </is>
      </c>
      <c r="B559" s="1" t="n">
        <v>45993.37643518519</v>
      </c>
      <c r="C559" s="1" t="n">
        <v>46132</v>
      </c>
      <c r="D559" t="inlineStr">
        <is>
          <t>KRONOBERGS LÄN</t>
        </is>
      </c>
      <c r="E559" t="inlineStr">
        <is>
          <t>TINGSRYD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38576-2025</t>
        </is>
      </c>
      <c r="B560" s="1" t="n">
        <v>45884.4652662037</v>
      </c>
      <c r="C560" s="1" t="n">
        <v>46132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36513-2021</t>
        </is>
      </c>
      <c r="B561" s="1" t="n">
        <v>44391</v>
      </c>
      <c r="C561" s="1" t="n">
        <v>46132</v>
      </c>
      <c r="D561" t="inlineStr">
        <is>
          <t>KRONOBERGS LÄN</t>
        </is>
      </c>
      <c r="E561" t="inlineStr">
        <is>
          <t>TINGSRYD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4724-2025</t>
        </is>
      </c>
      <c r="B562" s="1" t="n">
        <v>45688</v>
      </c>
      <c r="C562" s="1" t="n">
        <v>46132</v>
      </c>
      <c r="D562" t="inlineStr">
        <is>
          <t>KRONOBERGS LÄN</t>
        </is>
      </c>
      <c r="E562" t="inlineStr">
        <is>
          <t>TINGSRYD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57275-2025</t>
        </is>
      </c>
      <c r="B563" s="1" t="n">
        <v>45979.68732638889</v>
      </c>
      <c r="C563" s="1" t="n">
        <v>46132</v>
      </c>
      <c r="D563" t="inlineStr">
        <is>
          <t>KRONOBERGS LÄN</t>
        </is>
      </c>
      <c r="E563" t="inlineStr">
        <is>
          <t>TINGSRYD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1519-2023</t>
        </is>
      </c>
      <c r="B564" s="1" t="n">
        <v>44937</v>
      </c>
      <c r="C564" s="1" t="n">
        <v>46132</v>
      </c>
      <c r="D564" t="inlineStr">
        <is>
          <t>KRONOBERGS LÄN</t>
        </is>
      </c>
      <c r="E564" t="inlineStr">
        <is>
          <t>TINGSRYD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44237-2023</t>
        </is>
      </c>
      <c r="B565" s="1" t="n">
        <v>45188.57582175926</v>
      </c>
      <c r="C565" s="1" t="n">
        <v>46132</v>
      </c>
      <c r="D565" t="inlineStr">
        <is>
          <t>KRONOBERGS LÄN</t>
        </is>
      </c>
      <c r="E565" t="inlineStr">
        <is>
          <t>TINGSRYD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20058-2025</t>
        </is>
      </c>
      <c r="B566" s="1" t="n">
        <v>45772</v>
      </c>
      <c r="C566" s="1" t="n">
        <v>46132</v>
      </c>
      <c r="D566" t="inlineStr">
        <is>
          <t>KRONOBERGS LÄN</t>
        </is>
      </c>
      <c r="E566" t="inlineStr">
        <is>
          <t>TINGSRYD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55443-2024</t>
        </is>
      </c>
      <c r="B567" s="1" t="n">
        <v>45622</v>
      </c>
      <c r="C567" s="1" t="n">
        <v>46132</v>
      </c>
      <c r="D567" t="inlineStr">
        <is>
          <t>KRONOBERGS LÄN</t>
        </is>
      </c>
      <c r="E567" t="inlineStr">
        <is>
          <t>TINGSRYD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57952-2023</t>
        </is>
      </c>
      <c r="B568" s="1" t="n">
        <v>45247.56596064815</v>
      </c>
      <c r="C568" s="1" t="n">
        <v>46132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10855-2023</t>
        </is>
      </c>
      <c r="B569" s="1" t="n">
        <v>44991.37030092593</v>
      </c>
      <c r="C569" s="1" t="n">
        <v>46132</v>
      </c>
      <c r="D569" t="inlineStr">
        <is>
          <t>KRONOBERGS LÄN</t>
        </is>
      </c>
      <c r="E569" t="inlineStr">
        <is>
          <t>TINGSRYD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10856-2023</t>
        </is>
      </c>
      <c r="B570" s="1" t="n">
        <v>44991.37282407407</v>
      </c>
      <c r="C570" s="1" t="n">
        <v>46132</v>
      </c>
      <c r="D570" t="inlineStr">
        <is>
          <t>KRONOBERGS LÄN</t>
        </is>
      </c>
      <c r="E570" t="inlineStr">
        <is>
          <t>TINGSRYD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57955-2023</t>
        </is>
      </c>
      <c r="B571" s="1" t="n">
        <v>45247.56952546296</v>
      </c>
      <c r="C571" s="1" t="n">
        <v>46132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57962-2023</t>
        </is>
      </c>
      <c r="B572" s="1" t="n">
        <v>45247.57582175926</v>
      </c>
      <c r="C572" s="1" t="n">
        <v>46132</v>
      </c>
      <c r="D572" t="inlineStr">
        <is>
          <t>KRONOBERGS LÄN</t>
        </is>
      </c>
      <c r="E572" t="inlineStr">
        <is>
          <t>TINGSRYD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10599-2023</t>
        </is>
      </c>
      <c r="B573" s="1" t="n">
        <v>44988.39340277778</v>
      </c>
      <c r="C573" s="1" t="n">
        <v>46132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30918-2023</t>
        </is>
      </c>
      <c r="B574" s="1" t="n">
        <v>45113.43203703704</v>
      </c>
      <c r="C574" s="1" t="n">
        <v>46132</v>
      </c>
      <c r="D574" t="inlineStr">
        <is>
          <t>KRONOBERGS LÄN</t>
        </is>
      </c>
      <c r="E574" t="inlineStr">
        <is>
          <t>TINGSRYD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61111-2025</t>
        </is>
      </c>
      <c r="B575" s="1" t="n">
        <v>46000.45493055556</v>
      </c>
      <c r="C575" s="1" t="n">
        <v>46132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30044-2023</t>
        </is>
      </c>
      <c r="B576" s="1" t="n">
        <v>45110.37491898148</v>
      </c>
      <c r="C576" s="1" t="n">
        <v>46132</v>
      </c>
      <c r="D576" t="inlineStr">
        <is>
          <t>KRONOBERGS LÄN</t>
        </is>
      </c>
      <c r="E576" t="inlineStr">
        <is>
          <t>TINGSRYD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61106-2025</t>
        </is>
      </c>
      <c r="B577" s="1" t="n">
        <v>46000.44898148148</v>
      </c>
      <c r="C577" s="1" t="n">
        <v>46132</v>
      </c>
      <c r="D577" t="inlineStr">
        <is>
          <t>KRONOBERGS LÄN</t>
        </is>
      </c>
      <c r="E577" t="inlineStr">
        <is>
          <t>TINGSRYD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4213-2025</t>
        </is>
      </c>
      <c r="B578" s="1" t="n">
        <v>45685.49436342593</v>
      </c>
      <c r="C578" s="1" t="n">
        <v>46132</v>
      </c>
      <c r="D578" t="inlineStr">
        <is>
          <t>KRONOBERGS LÄN</t>
        </is>
      </c>
      <c r="E578" t="inlineStr">
        <is>
          <t>TINGSRYD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56933-2023</t>
        </is>
      </c>
      <c r="B579" s="1" t="n">
        <v>45244.59684027778</v>
      </c>
      <c r="C579" s="1" t="n">
        <v>46132</v>
      </c>
      <c r="D579" t="inlineStr">
        <is>
          <t>KRONOBERGS LÄN</t>
        </is>
      </c>
      <c r="E579" t="inlineStr">
        <is>
          <t>TINGSRYD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21508-2023</t>
        </is>
      </c>
      <c r="B580" s="1" t="n">
        <v>45063.50965277778</v>
      </c>
      <c r="C580" s="1" t="n">
        <v>46132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21512-2023</t>
        </is>
      </c>
      <c r="B581" s="1" t="n">
        <v>45063.51554398148</v>
      </c>
      <c r="C581" s="1" t="n">
        <v>46132</v>
      </c>
      <c r="D581" t="inlineStr">
        <is>
          <t>KRONOBERGS LÄN</t>
        </is>
      </c>
      <c r="E581" t="inlineStr">
        <is>
          <t>TINGSRYD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61150-2025</t>
        </is>
      </c>
      <c r="B582" s="1" t="n">
        <v>46000</v>
      </c>
      <c r="C582" s="1" t="n">
        <v>46132</v>
      </c>
      <c r="D582" t="inlineStr">
        <is>
          <t>KRONOBERGS LÄN</t>
        </is>
      </c>
      <c r="E582" t="inlineStr">
        <is>
          <t>TINGSRYD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13186-2023</t>
        </is>
      </c>
      <c r="B583" s="1" t="n">
        <v>45002</v>
      </c>
      <c r="C583" s="1" t="n">
        <v>46132</v>
      </c>
      <c r="D583" t="inlineStr">
        <is>
          <t>KRONOBERGS LÄN</t>
        </is>
      </c>
      <c r="E583" t="inlineStr">
        <is>
          <t>TINGSRYD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608-2023</t>
        </is>
      </c>
      <c r="B584" s="1" t="n">
        <v>44930.59520833333</v>
      </c>
      <c r="C584" s="1" t="n">
        <v>46132</v>
      </c>
      <c r="D584" t="inlineStr">
        <is>
          <t>KRONOBERGS LÄN</t>
        </is>
      </c>
      <c r="E584" t="inlineStr">
        <is>
          <t>TINGSRYD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46479-2023</t>
        </is>
      </c>
      <c r="B585" s="1" t="n">
        <v>45197.63912037037</v>
      </c>
      <c r="C585" s="1" t="n">
        <v>46132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10763-2022</t>
        </is>
      </c>
      <c r="B586" s="1" t="n">
        <v>44627.42074074074</v>
      </c>
      <c r="C586" s="1" t="n">
        <v>46132</v>
      </c>
      <c r="D586" t="inlineStr">
        <is>
          <t>KRONOBERGS LÄN</t>
        </is>
      </c>
      <c r="E586" t="inlineStr">
        <is>
          <t>TINGSRYD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61315-2025</t>
        </is>
      </c>
      <c r="B587" s="1" t="n">
        <v>46000.92856481481</v>
      </c>
      <c r="C587" s="1" t="n">
        <v>46132</v>
      </c>
      <c r="D587" t="inlineStr">
        <is>
          <t>KRONOBERGS LÄN</t>
        </is>
      </c>
      <c r="E587" t="inlineStr">
        <is>
          <t>TINGSRYD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61447-2023</t>
        </is>
      </c>
      <c r="B588" s="1" t="n">
        <v>45264.80734953703</v>
      </c>
      <c r="C588" s="1" t="n">
        <v>46132</v>
      </c>
      <c r="D588" t="inlineStr">
        <is>
          <t>KRONOBERGS LÄN</t>
        </is>
      </c>
      <c r="E588" t="inlineStr">
        <is>
          <t>TINGSRYD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22637-2023</t>
        </is>
      </c>
      <c r="B589" s="1" t="n">
        <v>45071</v>
      </c>
      <c r="C589" s="1" t="n">
        <v>46132</v>
      </c>
      <c r="D589" t="inlineStr">
        <is>
          <t>KRONOBERGS LÄN</t>
        </is>
      </c>
      <c r="E589" t="inlineStr">
        <is>
          <t>TINGSRYD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22648-2023</t>
        </is>
      </c>
      <c r="B590" s="1" t="n">
        <v>45071</v>
      </c>
      <c r="C590" s="1" t="n">
        <v>46132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22656-2023</t>
        </is>
      </c>
      <c r="B591" s="1" t="n">
        <v>45071.61512731481</v>
      </c>
      <c r="C591" s="1" t="n">
        <v>46132</v>
      </c>
      <c r="D591" t="inlineStr">
        <is>
          <t>KRONOBERGS LÄN</t>
        </is>
      </c>
      <c r="E591" t="inlineStr">
        <is>
          <t>TINGSRYD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61935-2025</t>
        </is>
      </c>
      <c r="B592" s="1" t="n">
        <v>46003.55077546297</v>
      </c>
      <c r="C592" s="1" t="n">
        <v>46132</v>
      </c>
      <c r="D592" t="inlineStr">
        <is>
          <t>KRONOBERGS LÄN</t>
        </is>
      </c>
      <c r="E592" t="inlineStr">
        <is>
          <t>TINGSRYD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60744-2023</t>
        </is>
      </c>
      <c r="B593" s="1" t="n">
        <v>45260.57837962963</v>
      </c>
      <c r="C593" s="1" t="n">
        <v>46132</v>
      </c>
      <c r="D593" t="inlineStr">
        <is>
          <t>KRONOBERGS LÄN</t>
        </is>
      </c>
      <c r="E593" t="inlineStr">
        <is>
          <t>TINGSRYD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11559-2022</t>
        </is>
      </c>
      <c r="B594" s="1" t="n">
        <v>44631.46039351852</v>
      </c>
      <c r="C594" s="1" t="n">
        <v>46132</v>
      </c>
      <c r="D594" t="inlineStr">
        <is>
          <t>KRONOBERGS LÄN</t>
        </is>
      </c>
      <c r="E594" t="inlineStr">
        <is>
          <t>TINGSRYD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30678-2023</t>
        </is>
      </c>
      <c r="B595" s="1" t="n">
        <v>45112.54576388889</v>
      </c>
      <c r="C595" s="1" t="n">
        <v>46132</v>
      </c>
      <c r="D595" t="inlineStr">
        <is>
          <t>KRONOBERGS LÄN</t>
        </is>
      </c>
      <c r="E595" t="inlineStr">
        <is>
          <t>TINGSRYD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61933-2025</t>
        </is>
      </c>
      <c r="B596" s="1" t="n">
        <v>46003.54471064815</v>
      </c>
      <c r="C596" s="1" t="n">
        <v>46132</v>
      </c>
      <c r="D596" t="inlineStr">
        <is>
          <t>KRONOBERGS LÄN</t>
        </is>
      </c>
      <c r="E596" t="inlineStr">
        <is>
          <t>TINGSRYD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13400-2025</t>
        </is>
      </c>
      <c r="B597" s="1" t="n">
        <v>45735.76244212963</v>
      </c>
      <c r="C597" s="1" t="n">
        <v>46132</v>
      </c>
      <c r="D597" t="inlineStr">
        <is>
          <t>KRONOBERGS LÄN</t>
        </is>
      </c>
      <c r="E597" t="inlineStr">
        <is>
          <t>TINGSRYD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13401-2025</t>
        </is>
      </c>
      <c r="B598" s="1" t="n">
        <v>45735.76439814815</v>
      </c>
      <c r="C598" s="1" t="n">
        <v>46132</v>
      </c>
      <c r="D598" t="inlineStr">
        <is>
          <t>KRONOBERGS LÄN</t>
        </is>
      </c>
      <c r="E598" t="inlineStr">
        <is>
          <t>TINGSRYD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25774-2024</t>
        </is>
      </c>
      <c r="B599" s="1" t="n">
        <v>45466.61302083333</v>
      </c>
      <c r="C599" s="1" t="n">
        <v>46132</v>
      </c>
      <c r="D599" t="inlineStr">
        <is>
          <t>KRONOBERGS LÄN</t>
        </is>
      </c>
      <c r="E599" t="inlineStr">
        <is>
          <t>TINGSRYD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54466-2021</t>
        </is>
      </c>
      <c r="B600" s="1" t="n">
        <v>44473.47971064815</v>
      </c>
      <c r="C600" s="1" t="n">
        <v>46132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33817-2022</t>
        </is>
      </c>
      <c r="B601" s="1" t="n">
        <v>44790</v>
      </c>
      <c r="C601" s="1" t="n">
        <v>46132</v>
      </c>
      <c r="D601" t="inlineStr">
        <is>
          <t>KRONOBERGS LÄN</t>
        </is>
      </c>
      <c r="E601" t="inlineStr">
        <is>
          <t>TINGSRYD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62513-2025</t>
        </is>
      </c>
      <c r="B602" s="1" t="n">
        <v>46007.59954861111</v>
      </c>
      <c r="C602" s="1" t="n">
        <v>46132</v>
      </c>
      <c r="D602" t="inlineStr">
        <is>
          <t>KRONOBERGS LÄN</t>
        </is>
      </c>
      <c r="E602" t="inlineStr">
        <is>
          <t>TINGSRYD</t>
        </is>
      </c>
      <c r="F602" t="inlineStr">
        <is>
          <t>Övriga Aktiebolag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62471-2025</t>
        </is>
      </c>
      <c r="B603" s="1" t="n">
        <v>46007.5422337963</v>
      </c>
      <c r="C603" s="1" t="n">
        <v>46132</v>
      </c>
      <c r="D603" t="inlineStr">
        <is>
          <t>KRONOBERGS LÄN</t>
        </is>
      </c>
      <c r="E603" t="inlineStr">
        <is>
          <t>TINGSRYD</t>
        </is>
      </c>
      <c r="F603" t="inlineStr">
        <is>
          <t>Kommuner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62470-2025</t>
        </is>
      </c>
      <c r="B604" s="1" t="n">
        <v>46007.54017361111</v>
      </c>
      <c r="C604" s="1" t="n">
        <v>46132</v>
      </c>
      <c r="D604" t="inlineStr">
        <is>
          <t>KRONOBERGS LÄN</t>
        </is>
      </c>
      <c r="E604" t="inlineStr">
        <is>
          <t>TINGSRYD</t>
        </is>
      </c>
      <c r="F604" t="inlineStr">
        <is>
          <t>Kommuner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62504-2025</t>
        </is>
      </c>
      <c r="B605" s="1" t="n">
        <v>46007.591875</v>
      </c>
      <c r="C605" s="1" t="n">
        <v>46132</v>
      </c>
      <c r="D605" t="inlineStr">
        <is>
          <t>KRONOBERGS LÄN</t>
        </is>
      </c>
      <c r="E605" t="inlineStr">
        <is>
          <t>TINGSRYD</t>
        </is>
      </c>
      <c r="F605" t="inlineStr">
        <is>
          <t>Övriga Aktiebolag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24390-2023</t>
        </is>
      </c>
      <c r="B606" s="1" t="n">
        <v>45082</v>
      </c>
      <c r="C606" s="1" t="n">
        <v>46132</v>
      </c>
      <c r="D606" t="inlineStr">
        <is>
          <t>KRONOBERGS LÄN</t>
        </is>
      </c>
      <c r="E606" t="inlineStr">
        <is>
          <t>TINGSRYD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24395-2023</t>
        </is>
      </c>
      <c r="B607" s="1" t="n">
        <v>45082.41980324074</v>
      </c>
      <c r="C607" s="1" t="n">
        <v>46132</v>
      </c>
      <c r="D607" t="inlineStr">
        <is>
          <t>KRONOBERGS LÄN</t>
        </is>
      </c>
      <c r="E607" t="inlineStr">
        <is>
          <t>TINGSRYD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62639-2025</t>
        </is>
      </c>
      <c r="B608" s="1" t="n">
        <v>46008.36716435185</v>
      </c>
      <c r="C608" s="1" t="n">
        <v>46132</v>
      </c>
      <c r="D608" t="inlineStr">
        <is>
          <t>KRONOBERGS LÄN</t>
        </is>
      </c>
      <c r="E608" t="inlineStr">
        <is>
          <t>TINGSRYD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29588-2023</t>
        </is>
      </c>
      <c r="B609" s="1" t="n">
        <v>45106.86053240741</v>
      </c>
      <c r="C609" s="1" t="n">
        <v>46132</v>
      </c>
      <c r="D609" t="inlineStr">
        <is>
          <t>KRONOBERGS LÄN</t>
        </is>
      </c>
      <c r="E609" t="inlineStr">
        <is>
          <t>TINGSRYD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61461-2022</t>
        </is>
      </c>
      <c r="B610" s="1" t="n">
        <v>44916.42804398148</v>
      </c>
      <c r="C610" s="1" t="n">
        <v>46132</v>
      </c>
      <c r="D610" t="inlineStr">
        <is>
          <t>KRONOBERGS LÄN</t>
        </is>
      </c>
      <c r="E610" t="inlineStr">
        <is>
          <t>TINGSRYD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60979-2023</t>
        </is>
      </c>
      <c r="B611" s="1" t="n">
        <v>45261</v>
      </c>
      <c r="C611" s="1" t="n">
        <v>46132</v>
      </c>
      <c r="D611" t="inlineStr">
        <is>
          <t>KRONOBERGS LÄN</t>
        </is>
      </c>
      <c r="E611" t="inlineStr">
        <is>
          <t>TINGSRYD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8520-2025</t>
        </is>
      </c>
      <c r="B612" s="1" t="n">
        <v>45709.56060185185</v>
      </c>
      <c r="C612" s="1" t="n">
        <v>46132</v>
      </c>
      <c r="D612" t="inlineStr">
        <is>
          <t>KRONOBERGS LÄN</t>
        </is>
      </c>
      <c r="E612" t="inlineStr">
        <is>
          <t>TINGSRYD</t>
        </is>
      </c>
      <c r="F612" t="inlineStr">
        <is>
          <t>Övriga Aktiebolag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20955-2024</t>
        </is>
      </c>
      <c r="B613" s="1" t="n">
        <v>45439</v>
      </c>
      <c r="C613" s="1" t="n">
        <v>46132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63938-2025</t>
        </is>
      </c>
      <c r="B614" s="1" t="n">
        <v>46010</v>
      </c>
      <c r="C614" s="1" t="n">
        <v>46132</v>
      </c>
      <c r="D614" t="inlineStr">
        <is>
          <t>KRONOBERGS LÄN</t>
        </is>
      </c>
      <c r="E614" t="inlineStr">
        <is>
          <t>TINGSRYD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17390-2025</t>
        </is>
      </c>
      <c r="B615" s="1" t="n">
        <v>45757.32127314815</v>
      </c>
      <c r="C615" s="1" t="n">
        <v>46132</v>
      </c>
      <c r="D615" t="inlineStr">
        <is>
          <t>KRONOBERGS LÄN</t>
        </is>
      </c>
      <c r="E615" t="inlineStr">
        <is>
          <t>TINGSRYD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44492-2021</t>
        </is>
      </c>
      <c r="B616" s="1" t="n">
        <v>44435</v>
      </c>
      <c r="C616" s="1" t="n">
        <v>46132</v>
      </c>
      <c r="D616" t="inlineStr">
        <is>
          <t>KRONOBERGS LÄN</t>
        </is>
      </c>
      <c r="E616" t="inlineStr">
        <is>
          <t>TINGSRYD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40584-2025</t>
        </is>
      </c>
      <c r="B617" s="1" t="n">
        <v>45896.5199537037</v>
      </c>
      <c r="C617" s="1" t="n">
        <v>46132</v>
      </c>
      <c r="D617" t="inlineStr">
        <is>
          <t>KRONOBERGS LÄN</t>
        </is>
      </c>
      <c r="E617" t="inlineStr">
        <is>
          <t>TINGSRYD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42414-2021</t>
        </is>
      </c>
      <c r="B618" s="1" t="n">
        <v>44427.54488425926</v>
      </c>
      <c r="C618" s="1" t="n">
        <v>46132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11219-2025</t>
        </is>
      </c>
      <c r="B619" s="1" t="n">
        <v>45726</v>
      </c>
      <c r="C619" s="1" t="n">
        <v>46132</v>
      </c>
      <c r="D619" t="inlineStr">
        <is>
          <t>KRONOBERGS LÄN</t>
        </is>
      </c>
      <c r="E619" t="inlineStr">
        <is>
          <t>TINGSRYD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54722-2023</t>
        </is>
      </c>
      <c r="B620" s="1" t="n">
        <v>45229</v>
      </c>
      <c r="C620" s="1" t="n">
        <v>46132</v>
      </c>
      <c r="D620" t="inlineStr">
        <is>
          <t>KRONOBERGS LÄN</t>
        </is>
      </c>
      <c r="E620" t="inlineStr">
        <is>
          <t>TINGSRYD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63337-2025</t>
        </is>
      </c>
      <c r="B621" s="1" t="n">
        <v>46010</v>
      </c>
      <c r="C621" s="1" t="n">
        <v>46132</v>
      </c>
      <c r="D621" t="inlineStr">
        <is>
          <t>KRONOBERGS LÄN</t>
        </is>
      </c>
      <c r="E621" t="inlineStr">
        <is>
          <t>TINGSRYD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16342-2024</t>
        </is>
      </c>
      <c r="B622" s="1" t="n">
        <v>45407.56440972222</v>
      </c>
      <c r="C622" s="1" t="n">
        <v>46132</v>
      </c>
      <c r="D622" t="inlineStr">
        <is>
          <t>KRONOBERGS LÄN</t>
        </is>
      </c>
      <c r="E622" t="inlineStr">
        <is>
          <t>TINGSRYD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23958-2023</t>
        </is>
      </c>
      <c r="B623" s="1" t="n">
        <v>45075</v>
      </c>
      <c r="C623" s="1" t="n">
        <v>46132</v>
      </c>
      <c r="D623" t="inlineStr">
        <is>
          <t>KRONOBERGS LÄN</t>
        </is>
      </c>
      <c r="E623" t="inlineStr">
        <is>
          <t>TINGSRYD</t>
        </is>
      </c>
      <c r="F623" t="inlineStr">
        <is>
          <t>Kyrkan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30056-2023</t>
        </is>
      </c>
      <c r="B624" s="1" t="n">
        <v>45110</v>
      </c>
      <c r="C624" s="1" t="n">
        <v>46132</v>
      </c>
      <c r="D624" t="inlineStr">
        <is>
          <t>KRONOBERGS LÄN</t>
        </is>
      </c>
      <c r="E624" t="inlineStr">
        <is>
          <t>TINGSRYD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29739-2023</t>
        </is>
      </c>
      <c r="B625" s="1" t="n">
        <v>45107.45663194444</v>
      </c>
      <c r="C625" s="1" t="n">
        <v>46132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61117-2023</t>
        </is>
      </c>
      <c r="B626" s="1" t="n">
        <v>45261</v>
      </c>
      <c r="C626" s="1" t="n">
        <v>46132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28640-2023</t>
        </is>
      </c>
      <c r="B627" s="1" t="n">
        <v>45103</v>
      </c>
      <c r="C627" s="1" t="n">
        <v>46132</v>
      </c>
      <c r="D627" t="inlineStr">
        <is>
          <t>KRONOBERGS LÄN</t>
        </is>
      </c>
      <c r="E627" t="inlineStr">
        <is>
          <t>TINGSRYD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43308-2023</t>
        </is>
      </c>
      <c r="B628" s="1" t="n">
        <v>45183.60244212963</v>
      </c>
      <c r="C628" s="1" t="n">
        <v>46132</v>
      </c>
      <c r="D628" t="inlineStr">
        <is>
          <t>KRONOBERGS LÄN</t>
        </is>
      </c>
      <c r="E628" t="inlineStr">
        <is>
          <t>TINGSRYD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17130-2025</t>
        </is>
      </c>
      <c r="B629" s="1" t="n">
        <v>45755.74106481481</v>
      </c>
      <c r="C629" s="1" t="n">
        <v>46132</v>
      </c>
      <c r="D629" t="inlineStr">
        <is>
          <t>KRONOBERGS LÄN</t>
        </is>
      </c>
      <c r="E629" t="inlineStr">
        <is>
          <t>TINGSRYD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57430-2021</t>
        </is>
      </c>
      <c r="B630" s="1" t="n">
        <v>44483.60684027777</v>
      </c>
      <c r="C630" s="1" t="n">
        <v>46132</v>
      </c>
      <c r="D630" t="inlineStr">
        <is>
          <t>KRONOBERGS LÄN</t>
        </is>
      </c>
      <c r="E630" t="inlineStr">
        <is>
          <t>TINGSRYD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28547-2023</t>
        </is>
      </c>
      <c r="B631" s="1" t="n">
        <v>45103</v>
      </c>
      <c r="C631" s="1" t="n">
        <v>46132</v>
      </c>
      <c r="D631" t="inlineStr">
        <is>
          <t>KRONOBERGS LÄN</t>
        </is>
      </c>
      <c r="E631" t="inlineStr">
        <is>
          <t>TINGSRYD</t>
        </is>
      </c>
      <c r="F631" t="inlineStr">
        <is>
          <t>Kommuner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41124-2024</t>
        </is>
      </c>
      <c r="B632" s="1" t="n">
        <v>45559</v>
      </c>
      <c r="C632" s="1" t="n">
        <v>46132</v>
      </c>
      <c r="D632" t="inlineStr">
        <is>
          <t>KRONOBERGS LÄN</t>
        </is>
      </c>
      <c r="E632" t="inlineStr">
        <is>
          <t>TINGSRYD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799-2026</t>
        </is>
      </c>
      <c r="B633" s="1" t="n">
        <v>46029.92524305556</v>
      </c>
      <c r="C633" s="1" t="n">
        <v>46132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30008-2023</t>
        </is>
      </c>
      <c r="B634" s="1" t="n">
        <v>45109.83387731481</v>
      </c>
      <c r="C634" s="1" t="n">
        <v>46132</v>
      </c>
      <c r="D634" t="inlineStr">
        <is>
          <t>KRONOBERGS LÄN</t>
        </is>
      </c>
      <c r="E634" t="inlineStr">
        <is>
          <t>TINGSRYD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17010-2023</t>
        </is>
      </c>
      <c r="B635" s="1" t="n">
        <v>45034.29767361111</v>
      </c>
      <c r="C635" s="1" t="n">
        <v>46132</v>
      </c>
      <c r="D635" t="inlineStr">
        <is>
          <t>KRONOBERGS LÄN</t>
        </is>
      </c>
      <c r="E635" t="inlineStr">
        <is>
          <t>TINGSRYD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40487-2023</t>
        </is>
      </c>
      <c r="B636" s="1" t="n">
        <v>45170</v>
      </c>
      <c r="C636" s="1" t="n">
        <v>46132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58859-2022</t>
        </is>
      </c>
      <c r="B637" s="1" t="n">
        <v>44895</v>
      </c>
      <c r="C637" s="1" t="n">
        <v>46132</v>
      </c>
      <c r="D637" t="inlineStr">
        <is>
          <t>KRONOBERGS LÄN</t>
        </is>
      </c>
      <c r="E637" t="inlineStr">
        <is>
          <t>TINGSRYD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616-2026</t>
        </is>
      </c>
      <c r="B638" s="1" t="n">
        <v>46029</v>
      </c>
      <c r="C638" s="1" t="n">
        <v>46132</v>
      </c>
      <c r="D638" t="inlineStr">
        <is>
          <t>KRONOBERGS LÄN</t>
        </is>
      </c>
      <c r="E638" t="inlineStr">
        <is>
          <t>TINGSRYD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803-2026</t>
        </is>
      </c>
      <c r="B639" s="1" t="n">
        <v>46030.27077546297</v>
      </c>
      <c r="C639" s="1" t="n">
        <v>46132</v>
      </c>
      <c r="D639" t="inlineStr">
        <is>
          <t>KRONOBERGS LÄN</t>
        </is>
      </c>
      <c r="E639" t="inlineStr">
        <is>
          <t>TINGSRYD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1236-2026</t>
        </is>
      </c>
      <c r="B640" s="1" t="n">
        <v>46031.4178587963</v>
      </c>
      <c r="C640" s="1" t="n">
        <v>46132</v>
      </c>
      <c r="D640" t="inlineStr">
        <is>
          <t>KRONOBERGS LÄN</t>
        </is>
      </c>
      <c r="E640" t="inlineStr">
        <is>
          <t>TINGSRYD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1357-2026</t>
        </is>
      </c>
      <c r="B641" s="1" t="n">
        <v>46031.60041666667</v>
      </c>
      <c r="C641" s="1" t="n">
        <v>46132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5207-2024</t>
        </is>
      </c>
      <c r="B642" s="1" t="n">
        <v>45330.61230324074</v>
      </c>
      <c r="C642" s="1" t="n">
        <v>46132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1331-2026</t>
        </is>
      </c>
      <c r="B643" s="1" t="n">
        <v>46031.57244212963</v>
      </c>
      <c r="C643" s="1" t="n">
        <v>46132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1361-2026</t>
        </is>
      </c>
      <c r="B644" s="1" t="n">
        <v>46031.60525462963</v>
      </c>
      <c r="C644" s="1" t="n">
        <v>46132</v>
      </c>
      <c r="D644" t="inlineStr">
        <is>
          <t>KRONOBERGS LÄN</t>
        </is>
      </c>
      <c r="E644" t="inlineStr">
        <is>
          <t>TINGSRYD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5474-2023</t>
        </is>
      </c>
      <c r="B645" s="1" t="n">
        <v>44960.35675925926</v>
      </c>
      <c r="C645" s="1" t="n">
        <v>46132</v>
      </c>
      <c r="D645" t="inlineStr">
        <is>
          <t>KRONOBERGS LÄN</t>
        </is>
      </c>
      <c r="E645" t="inlineStr">
        <is>
          <t>TINGSRYD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6894-2023</t>
        </is>
      </c>
      <c r="B646" s="1" t="n">
        <v>44967</v>
      </c>
      <c r="C646" s="1" t="n">
        <v>46132</v>
      </c>
      <c r="D646" t="inlineStr">
        <is>
          <t>KRONOBERGS LÄN</t>
        </is>
      </c>
      <c r="E646" t="inlineStr">
        <is>
          <t>TINGSRYD</t>
        </is>
      </c>
      <c r="F646" t="inlineStr">
        <is>
          <t>Övriga Aktiebolag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1352-2026</t>
        </is>
      </c>
      <c r="B647" s="1" t="n">
        <v>46031.5949537037</v>
      </c>
      <c r="C647" s="1" t="n">
        <v>46132</v>
      </c>
      <c r="D647" t="inlineStr">
        <is>
          <t>KRONOBERGS LÄN</t>
        </is>
      </c>
      <c r="E647" t="inlineStr">
        <is>
          <t>TINGSRYD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10932-2024</t>
        </is>
      </c>
      <c r="B648" s="1" t="n">
        <v>45370.43637731481</v>
      </c>
      <c r="C648" s="1" t="n">
        <v>46132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47977-2021</t>
        </is>
      </c>
      <c r="B649" s="1" t="n">
        <v>44448</v>
      </c>
      <c r="C649" s="1" t="n">
        <v>46132</v>
      </c>
      <c r="D649" t="inlineStr">
        <is>
          <t>KRONOBERGS LÄN</t>
        </is>
      </c>
      <c r="E649" t="inlineStr">
        <is>
          <t>TINGSRYD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1853-2026</t>
        </is>
      </c>
      <c r="B650" s="1" t="n">
        <v>46035.41711805556</v>
      </c>
      <c r="C650" s="1" t="n">
        <v>46132</v>
      </c>
      <c r="D650" t="inlineStr">
        <is>
          <t>KRONOBERGS LÄN</t>
        </is>
      </c>
      <c r="E650" t="inlineStr">
        <is>
          <t>TINGSRYD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56001-2023</t>
        </is>
      </c>
      <c r="B651" s="1" t="n">
        <v>45240.39980324074</v>
      </c>
      <c r="C651" s="1" t="n">
        <v>46132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1857-2026</t>
        </is>
      </c>
      <c r="B652" s="1" t="n">
        <v>46035.433125</v>
      </c>
      <c r="C652" s="1" t="n">
        <v>46132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2773-2026</t>
        </is>
      </c>
      <c r="B653" s="1" t="n">
        <v>46036</v>
      </c>
      <c r="C653" s="1" t="n">
        <v>46132</v>
      </c>
      <c r="D653" t="inlineStr">
        <is>
          <t>KRONOBERGS LÄN</t>
        </is>
      </c>
      <c r="E653" t="inlineStr">
        <is>
          <t>TINGSRYD</t>
        </is>
      </c>
      <c r="F653" t="inlineStr">
        <is>
          <t>Kyrkan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4636-2023</t>
        </is>
      </c>
      <c r="B654" s="1" t="n">
        <v>44953</v>
      </c>
      <c r="C654" s="1" t="n">
        <v>46132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60545-2022</t>
        </is>
      </c>
      <c r="B655" s="1" t="n">
        <v>44904</v>
      </c>
      <c r="C655" s="1" t="n">
        <v>46132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1850-2026</t>
        </is>
      </c>
      <c r="B656" s="1" t="n">
        <v>46035.41473379629</v>
      </c>
      <c r="C656" s="1" t="n">
        <v>46132</v>
      </c>
      <c r="D656" t="inlineStr">
        <is>
          <t>KRONOBERGS LÄN</t>
        </is>
      </c>
      <c r="E656" t="inlineStr">
        <is>
          <t>TINGSRYD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4357-2024</t>
        </is>
      </c>
      <c r="B657" s="1" t="n">
        <v>45325.3631712963</v>
      </c>
      <c r="C657" s="1" t="n">
        <v>46132</v>
      </c>
      <c r="D657" t="inlineStr">
        <is>
          <t>KRONOBERGS LÄN</t>
        </is>
      </c>
      <c r="E657" t="inlineStr">
        <is>
          <t>TINGSRYD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29895-2023</t>
        </is>
      </c>
      <c r="B658" s="1" t="n">
        <v>45107.63880787037</v>
      </c>
      <c r="C658" s="1" t="n">
        <v>46132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2824-2026</t>
        </is>
      </c>
      <c r="B659" s="1" t="n">
        <v>46036</v>
      </c>
      <c r="C659" s="1" t="n">
        <v>46132</v>
      </c>
      <c r="D659" t="inlineStr">
        <is>
          <t>KRONOBERGS LÄN</t>
        </is>
      </c>
      <c r="E659" t="inlineStr">
        <is>
          <t>TINGSRYD</t>
        </is>
      </c>
      <c r="F659" t="inlineStr">
        <is>
          <t>Kyrkan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3005-2026</t>
        </is>
      </c>
      <c r="B660" s="1" t="n">
        <v>46038</v>
      </c>
      <c r="C660" s="1" t="n">
        <v>46132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3035-2026</t>
        </is>
      </c>
      <c r="B661" s="1" t="n">
        <v>46038</v>
      </c>
      <c r="C661" s="1" t="n">
        <v>46132</v>
      </c>
      <c r="D661" t="inlineStr">
        <is>
          <t>KRONOBERGS LÄN</t>
        </is>
      </c>
      <c r="E661" t="inlineStr">
        <is>
          <t>TINGSRYD</t>
        </is>
      </c>
      <c r="F661" t="inlineStr">
        <is>
          <t>Kyrkan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3019-2026</t>
        </is>
      </c>
      <c r="B662" s="1" t="n">
        <v>46038</v>
      </c>
      <c r="C662" s="1" t="n">
        <v>46132</v>
      </c>
      <c r="D662" t="inlineStr">
        <is>
          <t>KRONOBERGS LÄN</t>
        </is>
      </c>
      <c r="E662" t="inlineStr">
        <is>
          <t>TINGSRYD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3311-2023</t>
        </is>
      </c>
      <c r="B663" s="1" t="n">
        <v>44949</v>
      </c>
      <c r="C663" s="1" t="n">
        <v>46132</v>
      </c>
      <c r="D663" t="inlineStr">
        <is>
          <t>KRONOBERGS LÄN</t>
        </is>
      </c>
      <c r="E663" t="inlineStr">
        <is>
          <t>TINGSRYD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3332-2023</t>
        </is>
      </c>
      <c r="B664" s="1" t="n">
        <v>44949.44320601852</v>
      </c>
      <c r="C664" s="1" t="n">
        <v>46132</v>
      </c>
      <c r="D664" t="inlineStr">
        <is>
          <t>KRONOBERGS LÄN</t>
        </is>
      </c>
      <c r="E664" t="inlineStr">
        <is>
          <t>TINGSRYD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13191-2023</t>
        </is>
      </c>
      <c r="B665" s="1" t="n">
        <v>45002</v>
      </c>
      <c r="C665" s="1" t="n">
        <v>46132</v>
      </c>
      <c r="D665" t="inlineStr">
        <is>
          <t>KRONOBERGS LÄN</t>
        </is>
      </c>
      <c r="E665" t="inlineStr">
        <is>
          <t>TINGSRYD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3024-2026</t>
        </is>
      </c>
      <c r="B666" s="1" t="n">
        <v>46038</v>
      </c>
      <c r="C666" s="1" t="n">
        <v>46132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2808-2024</t>
        </is>
      </c>
      <c r="B667" s="1" t="n">
        <v>45314.69070601852</v>
      </c>
      <c r="C667" s="1" t="n">
        <v>46132</v>
      </c>
      <c r="D667" t="inlineStr">
        <is>
          <t>KRONOBERGS LÄN</t>
        </is>
      </c>
      <c r="E667" t="inlineStr">
        <is>
          <t>TINGSRYD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3029-2026</t>
        </is>
      </c>
      <c r="B668" s="1" t="n">
        <v>46038</v>
      </c>
      <c r="C668" s="1" t="n">
        <v>46132</v>
      </c>
      <c r="D668" t="inlineStr">
        <is>
          <t>KRONOBERGS LÄN</t>
        </is>
      </c>
      <c r="E668" t="inlineStr">
        <is>
          <t>TINGSRYD</t>
        </is>
      </c>
      <c r="F668" t="inlineStr">
        <is>
          <t>Kyrkan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13966-2024</t>
        </is>
      </c>
      <c r="B669" s="1" t="n">
        <v>45392.35590277778</v>
      </c>
      <c r="C669" s="1" t="n">
        <v>46132</v>
      </c>
      <c r="D669" t="inlineStr">
        <is>
          <t>KRONOBERGS LÄN</t>
        </is>
      </c>
      <c r="E669" t="inlineStr">
        <is>
          <t>TINGSRYD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19186-2025</t>
        </is>
      </c>
      <c r="B670" s="1" t="n">
        <v>45769.40989583333</v>
      </c>
      <c r="C670" s="1" t="n">
        <v>46132</v>
      </c>
      <c r="D670" t="inlineStr">
        <is>
          <t>KRONOBERGS LÄN</t>
        </is>
      </c>
      <c r="E670" t="inlineStr">
        <is>
          <t>TINGSRYD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3373-2026</t>
        </is>
      </c>
      <c r="B671" s="1" t="n">
        <v>46042.34600694444</v>
      </c>
      <c r="C671" s="1" t="n">
        <v>46132</v>
      </c>
      <c r="D671" t="inlineStr">
        <is>
          <t>KRONOBERGS LÄN</t>
        </is>
      </c>
      <c r="E671" t="inlineStr">
        <is>
          <t>TINGSRYD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22122-2023</t>
        </is>
      </c>
      <c r="B672" s="1" t="n">
        <v>45069.57748842592</v>
      </c>
      <c r="C672" s="1" t="n">
        <v>46132</v>
      </c>
      <c r="D672" t="inlineStr">
        <is>
          <t>KRONOBERGS LÄN</t>
        </is>
      </c>
      <c r="E672" t="inlineStr">
        <is>
          <t>TINGSRYD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63697-2023</t>
        </is>
      </c>
      <c r="B673" s="1" t="n">
        <v>45275</v>
      </c>
      <c r="C673" s="1" t="n">
        <v>46132</v>
      </c>
      <c r="D673" t="inlineStr">
        <is>
          <t>KRONOBERGS LÄN</t>
        </is>
      </c>
      <c r="E673" t="inlineStr">
        <is>
          <t>TINGSRYD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43858-2022</t>
        </is>
      </c>
      <c r="B674" s="1" t="n">
        <v>44838.42135416667</v>
      </c>
      <c r="C674" s="1" t="n">
        <v>46132</v>
      </c>
      <c r="D674" t="inlineStr">
        <is>
          <t>KRONOBERGS LÄN</t>
        </is>
      </c>
      <c r="E674" t="inlineStr">
        <is>
          <t>TINGSRYD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72447-2021</t>
        </is>
      </c>
      <c r="B675" s="1" t="n">
        <v>44545.69108796296</v>
      </c>
      <c r="C675" s="1" t="n">
        <v>46132</v>
      </c>
      <c r="D675" t="inlineStr">
        <is>
          <t>KRONOBERGS LÄN</t>
        </is>
      </c>
      <c r="E675" t="inlineStr">
        <is>
          <t>TINGSRYD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3268-2023</t>
        </is>
      </c>
      <c r="B676" s="1" t="n">
        <v>44945</v>
      </c>
      <c r="C676" s="1" t="n">
        <v>46132</v>
      </c>
      <c r="D676" t="inlineStr">
        <is>
          <t>KRONOBERGS LÄN</t>
        </is>
      </c>
      <c r="E676" t="inlineStr">
        <is>
          <t>TINGSRYD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67565-2021</t>
        </is>
      </c>
      <c r="B677" s="1" t="n">
        <v>44524</v>
      </c>
      <c r="C677" s="1" t="n">
        <v>46132</v>
      </c>
      <c r="D677" t="inlineStr">
        <is>
          <t>KRONOBERGS LÄN</t>
        </is>
      </c>
      <c r="E677" t="inlineStr">
        <is>
          <t>TINGSRYD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54136-2022</t>
        </is>
      </c>
      <c r="B678" s="1" t="n">
        <v>44881.59844907407</v>
      </c>
      <c r="C678" s="1" t="n">
        <v>46132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18379-2024</t>
        </is>
      </c>
      <c r="B679" s="1" t="n">
        <v>45424.34530092592</v>
      </c>
      <c r="C679" s="1" t="n">
        <v>46132</v>
      </c>
      <c r="D679" t="inlineStr">
        <is>
          <t>KRONOBERGS LÄN</t>
        </is>
      </c>
      <c r="E679" t="inlineStr">
        <is>
          <t>TINGSRYD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15391-2023</t>
        </is>
      </c>
      <c r="B680" s="1" t="n">
        <v>45019.64087962963</v>
      </c>
      <c r="C680" s="1" t="n">
        <v>46132</v>
      </c>
      <c r="D680" t="inlineStr">
        <is>
          <t>KRONOBERGS LÄN</t>
        </is>
      </c>
      <c r="E680" t="inlineStr">
        <is>
          <t>TINGSRYD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604-2023</t>
        </is>
      </c>
      <c r="B681" s="1" t="n">
        <v>44930.58833333333</v>
      </c>
      <c r="C681" s="1" t="n">
        <v>46132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19310-2023</t>
        </is>
      </c>
      <c r="B682" s="1" t="n">
        <v>45049</v>
      </c>
      <c r="C682" s="1" t="n">
        <v>46132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27545-2023</t>
        </is>
      </c>
      <c r="B683" s="1" t="n">
        <v>45097</v>
      </c>
      <c r="C683" s="1" t="n">
        <v>46132</v>
      </c>
      <c r="D683" t="inlineStr">
        <is>
          <t>KRONOBERGS LÄN</t>
        </is>
      </c>
      <c r="E683" t="inlineStr">
        <is>
          <t>TINGSRYD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3086-2026</t>
        </is>
      </c>
      <c r="B684" s="1" t="n">
        <v>46040.80876157407</v>
      </c>
      <c r="C684" s="1" t="n">
        <v>46132</v>
      </c>
      <c r="D684" t="inlineStr">
        <is>
          <t>KRONOBERGS LÄN</t>
        </is>
      </c>
      <c r="E684" t="inlineStr">
        <is>
          <t>TINGSRYD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38595-2024</t>
        </is>
      </c>
      <c r="B685" s="1" t="n">
        <v>45546.66178240741</v>
      </c>
      <c r="C685" s="1" t="n">
        <v>46132</v>
      </c>
      <c r="D685" t="inlineStr">
        <is>
          <t>KRONOBERGS LÄN</t>
        </is>
      </c>
      <c r="E685" t="inlineStr">
        <is>
          <t>TINGSRYD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3842-2026</t>
        </is>
      </c>
      <c r="B686" s="1" t="n">
        <v>46043.59914351852</v>
      </c>
      <c r="C686" s="1" t="n">
        <v>46132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3799-2026</t>
        </is>
      </c>
      <c r="B687" s="1" t="n">
        <v>46043.58241898148</v>
      </c>
      <c r="C687" s="1" t="n">
        <v>46132</v>
      </c>
      <c r="D687" t="inlineStr">
        <is>
          <t>KRONOBERGS LÄN</t>
        </is>
      </c>
      <c r="E687" t="inlineStr">
        <is>
          <t>TINGSRYD</t>
        </is>
      </c>
      <c r="F687" t="inlineStr">
        <is>
          <t>Övriga Aktiebolag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4053-2026</t>
        </is>
      </c>
      <c r="B688" s="1" t="n">
        <v>46044.48165509259</v>
      </c>
      <c r="C688" s="1" t="n">
        <v>46132</v>
      </c>
      <c r="D688" t="inlineStr">
        <is>
          <t>KRONOBERGS LÄN</t>
        </is>
      </c>
      <c r="E688" t="inlineStr">
        <is>
          <t>TINGSRYD</t>
        </is>
      </c>
      <c r="F688" t="inlineStr">
        <is>
          <t>Övriga Aktiebolag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4065-2026</t>
        </is>
      </c>
      <c r="B689" s="1" t="n">
        <v>46044.51519675926</v>
      </c>
      <c r="C689" s="1" t="n">
        <v>46132</v>
      </c>
      <c r="D689" t="inlineStr">
        <is>
          <t>KRONOBERGS LÄN</t>
        </is>
      </c>
      <c r="E689" t="inlineStr">
        <is>
          <t>TINGSRYD</t>
        </is>
      </c>
      <c r="F689" t="inlineStr">
        <is>
          <t>Övriga Aktiebolag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4201-2026</t>
        </is>
      </c>
      <c r="B690" s="1" t="n">
        <v>46044.7053125</v>
      </c>
      <c r="C690" s="1" t="n">
        <v>46132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5972-2023</t>
        </is>
      </c>
      <c r="B691" s="1" t="n">
        <v>44964.34165509259</v>
      </c>
      <c r="C691" s="1" t="n">
        <v>46132</v>
      </c>
      <c r="D691" t="inlineStr">
        <is>
          <t>KRONOBERGS LÄN</t>
        </is>
      </c>
      <c r="E691" t="inlineStr">
        <is>
          <t>TINGSRYD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3838-2026</t>
        </is>
      </c>
      <c r="B692" s="1" t="n">
        <v>46043.59380787037</v>
      </c>
      <c r="C692" s="1" t="n">
        <v>46132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4066-2026</t>
        </is>
      </c>
      <c r="B693" s="1" t="n">
        <v>46044.51675925926</v>
      </c>
      <c r="C693" s="1" t="n">
        <v>46132</v>
      </c>
      <c r="D693" t="inlineStr">
        <is>
          <t>KRONOBERGS LÄN</t>
        </is>
      </c>
      <c r="E693" t="inlineStr">
        <is>
          <t>TINGSRYD</t>
        </is>
      </c>
      <c r="F693" t="inlineStr">
        <is>
          <t>Övriga Aktiebolag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4095-2026</t>
        </is>
      </c>
      <c r="B694" s="1" t="n">
        <v>46044.56614583333</v>
      </c>
      <c r="C694" s="1" t="n">
        <v>46132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4740-2026</t>
        </is>
      </c>
      <c r="B695" s="1" t="n">
        <v>46048.49688657407</v>
      </c>
      <c r="C695" s="1" t="n">
        <v>46132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58199-2023</t>
        </is>
      </c>
      <c r="B696" s="1" t="n">
        <v>45250.43831018519</v>
      </c>
      <c r="C696" s="1" t="n">
        <v>46132</v>
      </c>
      <c r="D696" t="inlineStr">
        <is>
          <t>KRONOBERGS LÄN</t>
        </is>
      </c>
      <c r="E696" t="inlineStr">
        <is>
          <t>TINGSRYD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4755-2026</t>
        </is>
      </c>
      <c r="B697" s="1" t="n">
        <v>46048.53172453704</v>
      </c>
      <c r="C697" s="1" t="n">
        <v>46132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4357-2026</t>
        </is>
      </c>
      <c r="B698" s="1" t="n">
        <v>46045.53836805555</v>
      </c>
      <c r="C698" s="1" t="n">
        <v>46132</v>
      </c>
      <c r="D698" t="inlineStr">
        <is>
          <t>KRONOBERGS LÄN</t>
        </is>
      </c>
      <c r="E698" t="inlineStr">
        <is>
          <t>TINGSRYD</t>
        </is>
      </c>
      <c r="F698" t="inlineStr">
        <is>
          <t>Övriga Aktiebolag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39150-2023</t>
        </is>
      </c>
      <c r="B699" s="1" t="n">
        <v>45166.33278935185</v>
      </c>
      <c r="C699" s="1" t="n">
        <v>46132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4347-2026</t>
        </is>
      </c>
      <c r="B700" s="1" t="n">
        <v>46045.52300925926</v>
      </c>
      <c r="C700" s="1" t="n">
        <v>46132</v>
      </c>
      <c r="D700" t="inlineStr">
        <is>
          <t>KRONOBERGS LÄN</t>
        </is>
      </c>
      <c r="E700" t="inlineStr">
        <is>
          <t>TINGSRYD</t>
        </is>
      </c>
      <c r="F700" t="inlineStr">
        <is>
          <t>Övriga Aktiebolag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38528-2024</t>
        </is>
      </c>
      <c r="B701" s="1" t="n">
        <v>45546.58138888889</v>
      </c>
      <c r="C701" s="1" t="n">
        <v>46132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12388-2026</t>
        </is>
      </c>
      <c r="B702" s="1" t="n">
        <v>46090.37305555555</v>
      </c>
      <c r="C702" s="1" t="n">
        <v>46132</v>
      </c>
      <c r="D702" t="inlineStr">
        <is>
          <t>KRONOBERGS LÄN</t>
        </is>
      </c>
      <c r="E702" t="inlineStr">
        <is>
          <t>TINGSRYD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4373-2026</t>
        </is>
      </c>
      <c r="B703" s="1" t="n">
        <v>46045.54962962963</v>
      </c>
      <c r="C703" s="1" t="n">
        <v>46132</v>
      </c>
      <c r="D703" t="inlineStr">
        <is>
          <t>KRONOBERGS LÄN</t>
        </is>
      </c>
      <c r="E703" t="inlineStr">
        <is>
          <t>TINGSRYD</t>
        </is>
      </c>
      <c r="F703" t="inlineStr">
        <is>
          <t>Övriga Aktiebolag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74236-2021</t>
        </is>
      </c>
      <c r="B704" s="1" t="n">
        <v>44558.59878472222</v>
      </c>
      <c r="C704" s="1" t="n">
        <v>46132</v>
      </c>
      <c r="D704" t="inlineStr">
        <is>
          <t>KRONOBERGS LÄN</t>
        </is>
      </c>
      <c r="E704" t="inlineStr">
        <is>
          <t>TINGSRYD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71388-2021</t>
        </is>
      </c>
      <c r="B705" s="1" t="n">
        <v>44540.33586805555</v>
      </c>
      <c r="C705" s="1" t="n">
        <v>46132</v>
      </c>
      <c r="D705" t="inlineStr">
        <is>
          <t>KRONOBERGS LÄN</t>
        </is>
      </c>
      <c r="E705" t="inlineStr">
        <is>
          <t>TINGSRYD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4997-2026</t>
        </is>
      </c>
      <c r="B706" s="1" t="n">
        <v>46049.42145833333</v>
      </c>
      <c r="C706" s="1" t="n">
        <v>46132</v>
      </c>
      <c r="D706" t="inlineStr">
        <is>
          <t>KRONOBERGS LÄN</t>
        </is>
      </c>
      <c r="E706" t="inlineStr">
        <is>
          <t>TINGSRYD</t>
        </is>
      </c>
      <c r="F706" t="inlineStr">
        <is>
          <t>Övriga Aktiebolag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5000-2026</t>
        </is>
      </c>
      <c r="B707" s="1" t="n">
        <v>46049</v>
      </c>
      <c r="C707" s="1" t="n">
        <v>46132</v>
      </c>
      <c r="D707" t="inlineStr">
        <is>
          <t>KRONOBERGS LÄN</t>
        </is>
      </c>
      <c r="E707" t="inlineStr">
        <is>
          <t>TINGSRYD</t>
        </is>
      </c>
      <c r="F707" t="inlineStr">
        <is>
          <t>Övriga Aktiebolag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6837-2024</t>
        </is>
      </c>
      <c r="B708" s="1" t="n">
        <v>45342.61726851852</v>
      </c>
      <c r="C708" s="1" t="n">
        <v>46132</v>
      </c>
      <c r="D708" t="inlineStr">
        <is>
          <t>KRONOBERGS LÄN</t>
        </is>
      </c>
      <c r="E708" t="inlineStr">
        <is>
          <t>TINGSRYD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2048-2022</t>
        </is>
      </c>
      <c r="B709" s="1" t="n">
        <v>44575</v>
      </c>
      <c r="C709" s="1" t="n">
        <v>46132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9838-2022</t>
        </is>
      </c>
      <c r="B710" s="1" t="n">
        <v>44620</v>
      </c>
      <c r="C710" s="1" t="n">
        <v>46132</v>
      </c>
      <c r="D710" t="inlineStr">
        <is>
          <t>KRONOBERGS LÄN</t>
        </is>
      </c>
      <c r="E710" t="inlineStr">
        <is>
          <t>TINGSRYD</t>
        </is>
      </c>
      <c r="F710" t="inlineStr">
        <is>
          <t>Kommuner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38246-2023</t>
        </is>
      </c>
      <c r="B711" s="1" t="n">
        <v>45160</v>
      </c>
      <c r="C711" s="1" t="n">
        <v>46132</v>
      </c>
      <c r="D711" t="inlineStr">
        <is>
          <t>KRONOBERGS LÄN</t>
        </is>
      </c>
      <c r="E711" t="inlineStr">
        <is>
          <t>TINGSRYD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63448-2023</t>
        </is>
      </c>
      <c r="B712" s="1" t="n">
        <v>45274.61003472222</v>
      </c>
      <c r="C712" s="1" t="n">
        <v>46132</v>
      </c>
      <c r="D712" t="inlineStr">
        <is>
          <t>KRONOBERGS LÄN</t>
        </is>
      </c>
      <c r="E712" t="inlineStr">
        <is>
          <t>TINGSRYD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13609-2026</t>
        </is>
      </c>
      <c r="B713" s="1" t="n">
        <v>46097.33388888889</v>
      </c>
      <c r="C713" s="1" t="n">
        <v>46132</v>
      </c>
      <c r="D713" t="inlineStr">
        <is>
          <t>KRONOBERGS LÄN</t>
        </is>
      </c>
      <c r="E713" t="inlineStr">
        <is>
          <t>TINGSRYD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37130-2023</t>
        </is>
      </c>
      <c r="B714" s="1" t="n">
        <v>45155.57315972223</v>
      </c>
      <c r="C714" s="1" t="n">
        <v>46132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37184-2023</t>
        </is>
      </c>
      <c r="B715" s="1" t="n">
        <v>45155</v>
      </c>
      <c r="C715" s="1" t="n">
        <v>46132</v>
      </c>
      <c r="D715" t="inlineStr">
        <is>
          <t>KRONOBERGS LÄN</t>
        </is>
      </c>
      <c r="E715" t="inlineStr">
        <is>
          <t>TINGSRYD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58566-2024</t>
        </is>
      </c>
      <c r="B716" s="1" t="n">
        <v>45635.47542824074</v>
      </c>
      <c r="C716" s="1" t="n">
        <v>46132</v>
      </c>
      <c r="D716" t="inlineStr">
        <is>
          <t>KRONOBERGS LÄN</t>
        </is>
      </c>
      <c r="E716" t="inlineStr">
        <is>
          <t>TINGSRYD</t>
        </is>
      </c>
      <c r="F716" t="inlineStr">
        <is>
          <t>Övriga Aktiebolag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37424-2024</t>
        </is>
      </c>
      <c r="B717" s="1" t="n">
        <v>45540.64592592593</v>
      </c>
      <c r="C717" s="1" t="n">
        <v>46132</v>
      </c>
      <c r="D717" t="inlineStr">
        <is>
          <t>KRONOBERGS LÄN</t>
        </is>
      </c>
      <c r="E717" t="inlineStr">
        <is>
          <t>TINGSRYD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6512-2026</t>
        </is>
      </c>
      <c r="B718" s="1" t="n">
        <v>46056.39016203704</v>
      </c>
      <c r="C718" s="1" t="n">
        <v>46132</v>
      </c>
      <c r="D718" t="inlineStr">
        <is>
          <t>KRONOBERGS LÄN</t>
        </is>
      </c>
      <c r="E718" t="inlineStr">
        <is>
          <t>TINGSRYD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6513-2026</t>
        </is>
      </c>
      <c r="B719" s="1" t="n">
        <v>46056.39130787037</v>
      </c>
      <c r="C719" s="1" t="n">
        <v>46132</v>
      </c>
      <c r="D719" t="inlineStr">
        <is>
          <t>KRONOBERGS LÄN</t>
        </is>
      </c>
      <c r="E719" t="inlineStr">
        <is>
          <t>TINGSRYD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17697-2025</t>
        </is>
      </c>
      <c r="B720" s="1" t="n">
        <v>45758.41546296296</v>
      </c>
      <c r="C720" s="1" t="n">
        <v>46132</v>
      </c>
      <c r="D720" t="inlineStr">
        <is>
          <t>KRONOBERGS LÄN</t>
        </is>
      </c>
      <c r="E720" t="inlineStr">
        <is>
          <t>TINGSRYD</t>
        </is>
      </c>
      <c r="F720" t="inlineStr">
        <is>
          <t>Övriga Aktiebolag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57959-2024</t>
        </is>
      </c>
      <c r="B721" s="1" t="n">
        <v>45631</v>
      </c>
      <c r="C721" s="1" t="n">
        <v>46132</v>
      </c>
      <c r="D721" t="inlineStr">
        <is>
          <t>KRONOBERGS LÄN</t>
        </is>
      </c>
      <c r="E721" t="inlineStr">
        <is>
          <t>TINGSRYD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50146-2024</t>
        </is>
      </c>
      <c r="B722" s="1" t="n">
        <v>45600.45130787037</v>
      </c>
      <c r="C722" s="1" t="n">
        <v>46132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38968-2024</t>
        </is>
      </c>
      <c r="B723" s="1" t="n">
        <v>45548.37193287037</v>
      </c>
      <c r="C723" s="1" t="n">
        <v>46132</v>
      </c>
      <c r="D723" t="inlineStr">
        <is>
          <t>KRONOBERGS LÄN</t>
        </is>
      </c>
      <c r="E723" t="inlineStr">
        <is>
          <t>TINGSRYD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13928-2026</t>
        </is>
      </c>
      <c r="B724" s="1" t="n">
        <v>46098.49912037037</v>
      </c>
      <c r="C724" s="1" t="n">
        <v>46132</v>
      </c>
      <c r="D724" t="inlineStr">
        <is>
          <t>KRONOBERGS LÄN</t>
        </is>
      </c>
      <c r="E724" t="inlineStr">
        <is>
          <t>TINGSRYD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34761-2022</t>
        </is>
      </c>
      <c r="B725" s="1" t="n">
        <v>44795</v>
      </c>
      <c r="C725" s="1" t="n">
        <v>46132</v>
      </c>
      <c r="D725" t="inlineStr">
        <is>
          <t>KRONOBERGS LÄN</t>
        </is>
      </c>
      <c r="E725" t="inlineStr">
        <is>
          <t>TINGSRYD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7267-2026</t>
        </is>
      </c>
      <c r="B726" s="1" t="n">
        <v>46058.6093287037</v>
      </c>
      <c r="C726" s="1" t="n">
        <v>46132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16854-2023</t>
        </is>
      </c>
      <c r="B727" s="1" t="n">
        <v>45033.46269675926</v>
      </c>
      <c r="C727" s="1" t="n">
        <v>46132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785-2022</t>
        </is>
      </c>
      <c r="B728" s="1" t="n">
        <v>44570.82280092593</v>
      </c>
      <c r="C728" s="1" t="n">
        <v>46132</v>
      </c>
      <c r="D728" t="inlineStr">
        <is>
          <t>KRONOBERGS LÄN</t>
        </is>
      </c>
      <c r="E728" t="inlineStr">
        <is>
          <t>TINGSRYD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73272-2021</t>
        </is>
      </c>
      <c r="B729" s="1" t="n">
        <v>44550.91732638889</v>
      </c>
      <c r="C729" s="1" t="n">
        <v>46132</v>
      </c>
      <c r="D729" t="inlineStr">
        <is>
          <t>KRONOBERGS LÄN</t>
        </is>
      </c>
      <c r="E729" t="inlineStr">
        <is>
          <t>TINGSRYD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29898-2023</t>
        </is>
      </c>
      <c r="B730" s="1" t="n">
        <v>45107.6415162037</v>
      </c>
      <c r="C730" s="1" t="n">
        <v>46132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3624-2022</t>
        </is>
      </c>
      <c r="B731" s="1" t="n">
        <v>44586.42520833333</v>
      </c>
      <c r="C731" s="1" t="n">
        <v>46132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14375-2026</t>
        </is>
      </c>
      <c r="B732" s="1" t="n">
        <v>46100.36990740741</v>
      </c>
      <c r="C732" s="1" t="n">
        <v>46132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57989-2024</t>
        </is>
      </c>
      <c r="B733" s="1" t="n">
        <v>45631.62325231481</v>
      </c>
      <c r="C733" s="1" t="n">
        <v>46132</v>
      </c>
      <c r="D733" t="inlineStr">
        <is>
          <t>KRONOBERGS LÄN</t>
        </is>
      </c>
      <c r="E733" t="inlineStr">
        <is>
          <t>TINGSRYD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41143-2024</t>
        </is>
      </c>
      <c r="B734" s="1" t="n">
        <v>45559</v>
      </c>
      <c r="C734" s="1" t="n">
        <v>46132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41144-2024</t>
        </is>
      </c>
      <c r="B735" s="1" t="n">
        <v>45559</v>
      </c>
      <c r="C735" s="1" t="n">
        <v>46132</v>
      </c>
      <c r="D735" t="inlineStr">
        <is>
          <t>KRONOBERGS LÄN</t>
        </is>
      </c>
      <c r="E735" t="inlineStr">
        <is>
          <t>TINGSRYD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36337-2023</t>
        </is>
      </c>
      <c r="B736" s="1" t="n">
        <v>45152</v>
      </c>
      <c r="C736" s="1" t="n">
        <v>46132</v>
      </c>
      <c r="D736" t="inlineStr">
        <is>
          <t>KRONOBERGS LÄN</t>
        </is>
      </c>
      <c r="E736" t="inlineStr">
        <is>
          <t>TINGSRYD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14583-2025</t>
        </is>
      </c>
      <c r="B737" s="1" t="n">
        <v>45742.31431712963</v>
      </c>
      <c r="C737" s="1" t="n">
        <v>46132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14902-2026</t>
        </is>
      </c>
      <c r="B738" s="1" t="n">
        <v>46104.45756944444</v>
      </c>
      <c r="C738" s="1" t="n">
        <v>46132</v>
      </c>
      <c r="D738" t="inlineStr">
        <is>
          <t>KRONOBERGS LÄN</t>
        </is>
      </c>
      <c r="E738" t="inlineStr">
        <is>
          <t>TINGSRYD</t>
        </is>
      </c>
      <c r="F738" t="inlineStr">
        <is>
          <t>Övriga Aktiebolag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60653-2024</t>
        </is>
      </c>
      <c r="B739" s="1" t="n">
        <v>45644.43983796296</v>
      </c>
      <c r="C739" s="1" t="n">
        <v>46132</v>
      </c>
      <c r="D739" t="inlineStr">
        <is>
          <t>KRONOBERGS LÄN</t>
        </is>
      </c>
      <c r="E739" t="inlineStr">
        <is>
          <t>TINGSRYD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45038-2023</t>
        </is>
      </c>
      <c r="B740" s="1" t="n">
        <v>45191</v>
      </c>
      <c r="C740" s="1" t="n">
        <v>46132</v>
      </c>
      <c r="D740" t="inlineStr">
        <is>
          <t>KRONOBERGS LÄN</t>
        </is>
      </c>
      <c r="E740" t="inlineStr">
        <is>
          <t>TINGSRYD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14651-2026</t>
        </is>
      </c>
      <c r="B741" s="1" t="n">
        <v>46101.42790509259</v>
      </c>
      <c r="C741" s="1" t="n">
        <v>46132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14743-2026</t>
        </is>
      </c>
      <c r="B742" s="1" t="n">
        <v>46101</v>
      </c>
      <c r="C742" s="1" t="n">
        <v>46132</v>
      </c>
      <c r="D742" t="inlineStr">
        <is>
          <t>KRONOBERGS LÄN</t>
        </is>
      </c>
      <c r="E742" t="inlineStr">
        <is>
          <t>TINGSRYD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24015-2023</t>
        </is>
      </c>
      <c r="B743" s="1" t="n">
        <v>45078</v>
      </c>
      <c r="C743" s="1" t="n">
        <v>46132</v>
      </c>
      <c r="D743" t="inlineStr">
        <is>
          <t>KRONOBERGS LÄN</t>
        </is>
      </c>
      <c r="E743" t="inlineStr">
        <is>
          <t>TINGSRYD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11533-2025</t>
        </is>
      </c>
      <c r="B744" s="1" t="n">
        <v>45727.33197916667</v>
      </c>
      <c r="C744" s="1" t="n">
        <v>46132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17931-2022</t>
        </is>
      </c>
      <c r="B745" s="1" t="n">
        <v>44683</v>
      </c>
      <c r="C745" s="1" t="n">
        <v>46132</v>
      </c>
      <c r="D745" t="inlineStr">
        <is>
          <t>KRONOBERGS LÄN</t>
        </is>
      </c>
      <c r="E745" t="inlineStr">
        <is>
          <t>TINGSRYD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54702-2024</t>
        </is>
      </c>
      <c r="B746" s="1" t="n">
        <v>45618.40965277778</v>
      </c>
      <c r="C746" s="1" t="n">
        <v>46132</v>
      </c>
      <c r="D746" t="inlineStr">
        <is>
          <t>KRONOBERGS LÄN</t>
        </is>
      </c>
      <c r="E746" t="inlineStr">
        <is>
          <t>TINGSRYD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16478-2024</t>
        </is>
      </c>
      <c r="B747" s="1" t="n">
        <v>45408.29181712963</v>
      </c>
      <c r="C747" s="1" t="n">
        <v>46132</v>
      </c>
      <c r="D747" t="inlineStr">
        <is>
          <t>KRONOBERGS LÄN</t>
        </is>
      </c>
      <c r="E747" t="inlineStr">
        <is>
          <t>TINGSRYD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42095-2023</t>
        </is>
      </c>
      <c r="B748" s="1" t="n">
        <v>45175</v>
      </c>
      <c r="C748" s="1" t="n">
        <v>46132</v>
      </c>
      <c r="D748" t="inlineStr">
        <is>
          <t>KRONOBERGS LÄN</t>
        </is>
      </c>
      <c r="E748" t="inlineStr">
        <is>
          <t>TINGSRYD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18704-2024</t>
        </is>
      </c>
      <c r="B749" s="1" t="n">
        <v>45426.43824074074</v>
      </c>
      <c r="C749" s="1" t="n">
        <v>46132</v>
      </c>
      <c r="D749" t="inlineStr">
        <is>
          <t>KRONOBERGS LÄN</t>
        </is>
      </c>
      <c r="E749" t="inlineStr">
        <is>
          <t>TINGSRYD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47550-2023</t>
        </is>
      </c>
      <c r="B750" s="1" t="n">
        <v>45203.38741898148</v>
      </c>
      <c r="C750" s="1" t="n">
        <v>46132</v>
      </c>
      <c r="D750" t="inlineStr">
        <is>
          <t>KRONOBERGS LÄN</t>
        </is>
      </c>
      <c r="E750" t="inlineStr">
        <is>
          <t>TINGSRYD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15251-2026</t>
        </is>
      </c>
      <c r="B751" s="1" t="n">
        <v>46105</v>
      </c>
      <c r="C751" s="1" t="n">
        <v>46132</v>
      </c>
      <c r="D751" t="inlineStr">
        <is>
          <t>KRONOBERGS LÄN</t>
        </is>
      </c>
      <c r="E751" t="inlineStr">
        <is>
          <t>TINGSRYD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15527-2026</t>
        </is>
      </c>
      <c r="B752" s="1" t="n">
        <v>46106.48519675926</v>
      </c>
      <c r="C752" s="1" t="n">
        <v>46132</v>
      </c>
      <c r="D752" t="inlineStr">
        <is>
          <t>KRONOBERGS LÄN</t>
        </is>
      </c>
      <c r="E752" t="inlineStr">
        <is>
          <t>TINGSRYD</t>
        </is>
      </c>
      <c r="F752" t="inlineStr">
        <is>
          <t>Övriga Aktiebolag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14852-2026</t>
        </is>
      </c>
      <c r="B753" s="1" t="n">
        <v>46104</v>
      </c>
      <c r="C753" s="1" t="n">
        <v>46132</v>
      </c>
      <c r="D753" t="inlineStr">
        <is>
          <t>KRONOBERGS LÄN</t>
        </is>
      </c>
      <c r="E753" t="inlineStr">
        <is>
          <t>TINGSRYD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24429-2023</t>
        </is>
      </c>
      <c r="B754" s="1" t="n">
        <v>45082</v>
      </c>
      <c r="C754" s="1" t="n">
        <v>46132</v>
      </c>
      <c r="D754" t="inlineStr">
        <is>
          <t>KRONOBERGS LÄN</t>
        </is>
      </c>
      <c r="E754" t="inlineStr">
        <is>
          <t>TINGSRYD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8101-2026</t>
        </is>
      </c>
      <c r="B755" s="1" t="n">
        <v>46063.72636574074</v>
      </c>
      <c r="C755" s="1" t="n">
        <v>46132</v>
      </c>
      <c r="D755" t="inlineStr">
        <is>
          <t>KRONOBERGS LÄN</t>
        </is>
      </c>
      <c r="E755" t="inlineStr">
        <is>
          <t>TINGSRYD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8039-2026</t>
        </is>
      </c>
      <c r="B756" s="1" t="n">
        <v>46063.59994212963</v>
      </c>
      <c r="C756" s="1" t="n">
        <v>46132</v>
      </c>
      <c r="D756" t="inlineStr">
        <is>
          <t>KRONOBERGS LÄN</t>
        </is>
      </c>
      <c r="E756" t="inlineStr">
        <is>
          <t>TINGSRYD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11431-2024</t>
        </is>
      </c>
      <c r="B757" s="1" t="n">
        <v>45372.51082175926</v>
      </c>
      <c r="C757" s="1" t="n">
        <v>46132</v>
      </c>
      <c r="D757" t="inlineStr">
        <is>
          <t>KRONOBERGS LÄN</t>
        </is>
      </c>
      <c r="E757" t="inlineStr">
        <is>
          <t>TINGSRYD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45040-2023</t>
        </is>
      </c>
      <c r="B758" s="1" t="n">
        <v>45191.32893518519</v>
      </c>
      <c r="C758" s="1" t="n">
        <v>46132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29584-2023</t>
        </is>
      </c>
      <c r="B759" s="1" t="n">
        <v>45106.82878472222</v>
      </c>
      <c r="C759" s="1" t="n">
        <v>46132</v>
      </c>
      <c r="D759" t="inlineStr">
        <is>
          <t>KRONOBERGS LÄN</t>
        </is>
      </c>
      <c r="E759" t="inlineStr">
        <is>
          <t>TINGSRYD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8107-2026</t>
        </is>
      </c>
      <c r="B760" s="1" t="n">
        <v>46063.74853009259</v>
      </c>
      <c r="C760" s="1" t="n">
        <v>46132</v>
      </c>
      <c r="D760" t="inlineStr">
        <is>
          <t>KRONOBERGS LÄN</t>
        </is>
      </c>
      <c r="E760" t="inlineStr">
        <is>
          <t>TINGSRYD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15998-2026</t>
        </is>
      </c>
      <c r="B761" s="1" t="n">
        <v>46108.38870370371</v>
      </c>
      <c r="C761" s="1" t="n">
        <v>46132</v>
      </c>
      <c r="D761" t="inlineStr">
        <is>
          <t>KRONOBERGS LÄN</t>
        </is>
      </c>
      <c r="E761" t="inlineStr">
        <is>
          <t>TINGSRYD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16007-2026</t>
        </is>
      </c>
      <c r="B762" s="1" t="n">
        <v>46108.41799768519</v>
      </c>
      <c r="C762" s="1" t="n">
        <v>46132</v>
      </c>
      <c r="D762" t="inlineStr">
        <is>
          <t>KRONOBERGS LÄN</t>
        </is>
      </c>
      <c r="E762" t="inlineStr">
        <is>
          <t>TINGSRYD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16010-2026</t>
        </is>
      </c>
      <c r="B763" s="1" t="n">
        <v>46108.4203125</v>
      </c>
      <c r="C763" s="1" t="n">
        <v>46132</v>
      </c>
      <c r="D763" t="inlineStr">
        <is>
          <t>KRONOBERGS LÄN</t>
        </is>
      </c>
      <c r="E763" t="inlineStr">
        <is>
          <t>TINGSRYD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16014-2026</t>
        </is>
      </c>
      <c r="B764" s="1" t="n">
        <v>46108.42712962963</v>
      </c>
      <c r="C764" s="1" t="n">
        <v>46132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8419-2026</t>
        </is>
      </c>
      <c r="B765" s="1" t="n">
        <v>46065.35259259259</v>
      </c>
      <c r="C765" s="1" t="n">
        <v>46132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25010-2023</t>
        </is>
      </c>
      <c r="B766" s="1" t="n">
        <v>45085.68162037037</v>
      </c>
      <c r="C766" s="1" t="n">
        <v>46132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29706-2023</t>
        </is>
      </c>
      <c r="B767" s="1" t="n">
        <v>45107.41297453704</v>
      </c>
      <c r="C767" s="1" t="n">
        <v>46132</v>
      </c>
      <c r="D767" t="inlineStr">
        <is>
          <t>KRONOBERGS LÄN</t>
        </is>
      </c>
      <c r="E767" t="inlineStr">
        <is>
          <t>TINGSRYD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10881-2022</t>
        </is>
      </c>
      <c r="B768" s="1" t="n">
        <v>44627.6955787037</v>
      </c>
      <c r="C768" s="1" t="n">
        <v>46132</v>
      </c>
      <c r="D768" t="inlineStr">
        <is>
          <t>KRONOBERGS LÄN</t>
        </is>
      </c>
      <c r="E768" t="inlineStr">
        <is>
          <t>TINGSRYD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10613-2022</t>
        </is>
      </c>
      <c r="B769" s="1" t="n">
        <v>44624</v>
      </c>
      <c r="C769" s="1" t="n">
        <v>46132</v>
      </c>
      <c r="D769" t="inlineStr">
        <is>
          <t>KRONOBERGS LÄN</t>
        </is>
      </c>
      <c r="E769" t="inlineStr">
        <is>
          <t>TINGSRYD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38853-2024</t>
        </is>
      </c>
      <c r="B770" s="1" t="n">
        <v>45547</v>
      </c>
      <c r="C770" s="1" t="n">
        <v>46132</v>
      </c>
      <c r="D770" t="inlineStr">
        <is>
          <t>KRONOBERGS LÄN</t>
        </is>
      </c>
      <c r="E770" t="inlineStr">
        <is>
          <t>TINGSRYD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41772-2023</t>
        </is>
      </c>
      <c r="B771" s="1" t="n">
        <v>45176.46469907407</v>
      </c>
      <c r="C771" s="1" t="n">
        <v>46132</v>
      </c>
      <c r="D771" t="inlineStr">
        <is>
          <t>KRONOBERGS LÄN</t>
        </is>
      </c>
      <c r="E771" t="inlineStr">
        <is>
          <t>TINGSRYD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49979-2023</t>
        </is>
      </c>
      <c r="B772" s="1" t="n">
        <v>45215.42108796296</v>
      </c>
      <c r="C772" s="1" t="n">
        <v>46132</v>
      </c>
      <c r="D772" t="inlineStr">
        <is>
          <t>KRONOBERGS LÄN</t>
        </is>
      </c>
      <c r="E772" t="inlineStr">
        <is>
          <t>TINGSRYD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52430-2024</t>
        </is>
      </c>
      <c r="B773" s="1" t="n">
        <v>45609.47512731481</v>
      </c>
      <c r="C773" s="1" t="n">
        <v>46132</v>
      </c>
      <c r="D773" t="inlineStr">
        <is>
          <t>KRONOBERGS LÄN</t>
        </is>
      </c>
      <c r="E773" t="inlineStr">
        <is>
          <t>TINGSRYD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10009-2022</t>
        </is>
      </c>
      <c r="B774" s="1" t="n">
        <v>44621.48859953704</v>
      </c>
      <c r="C774" s="1" t="n">
        <v>46132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8789-2022</t>
        </is>
      </c>
      <c r="B775" s="1" t="n">
        <v>44614.42685185185</v>
      </c>
      <c r="C775" s="1" t="n">
        <v>46132</v>
      </c>
      <c r="D775" t="inlineStr">
        <is>
          <t>KRONOBERGS LÄN</t>
        </is>
      </c>
      <c r="E775" t="inlineStr">
        <is>
          <t>TINGSRYD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49071-2023</t>
        </is>
      </c>
      <c r="B776" s="1" t="n">
        <v>45210.36392361111</v>
      </c>
      <c r="C776" s="1" t="n">
        <v>46132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49987-2023</t>
        </is>
      </c>
      <c r="B777" s="1" t="n">
        <v>45215</v>
      </c>
      <c r="C777" s="1" t="n">
        <v>46132</v>
      </c>
      <c r="D777" t="inlineStr">
        <is>
          <t>KRONOBERGS LÄN</t>
        </is>
      </c>
      <c r="E777" t="inlineStr">
        <is>
          <t>TINGSRYD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35661-2023</t>
        </is>
      </c>
      <c r="B778" s="1" t="n">
        <v>45147.59756944444</v>
      </c>
      <c r="C778" s="1" t="n">
        <v>46132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34209-2023</t>
        </is>
      </c>
      <c r="B779" s="1" t="n">
        <v>45138</v>
      </c>
      <c r="C779" s="1" t="n">
        <v>46132</v>
      </c>
      <c r="D779" t="inlineStr">
        <is>
          <t>KRONOBERGS LÄN</t>
        </is>
      </c>
      <c r="E779" t="inlineStr">
        <is>
          <t>TINGSRYD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8919-2025</t>
        </is>
      </c>
      <c r="B780" s="1" t="n">
        <v>45713.43387731481</v>
      </c>
      <c r="C780" s="1" t="n">
        <v>46132</v>
      </c>
      <c r="D780" t="inlineStr">
        <is>
          <t>KRONOBERGS LÄN</t>
        </is>
      </c>
      <c r="E780" t="inlineStr">
        <is>
          <t>TINGSRYD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25937-2023</t>
        </is>
      </c>
      <c r="B781" s="1" t="n">
        <v>45090.69125</v>
      </c>
      <c r="C781" s="1" t="n">
        <v>46132</v>
      </c>
      <c r="D781" t="inlineStr">
        <is>
          <t>KRONOBERGS LÄN</t>
        </is>
      </c>
      <c r="E781" t="inlineStr">
        <is>
          <t>TINGSRYD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40183-2022</t>
        </is>
      </c>
      <c r="B782" s="1" t="n">
        <v>44820</v>
      </c>
      <c r="C782" s="1" t="n">
        <v>46132</v>
      </c>
      <c r="D782" t="inlineStr">
        <is>
          <t>KRONOBERGS LÄN</t>
        </is>
      </c>
      <c r="E782" t="inlineStr">
        <is>
          <t>TINGSRYD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58571-2024</t>
        </is>
      </c>
      <c r="B783" s="1" t="n">
        <v>45635.47998842593</v>
      </c>
      <c r="C783" s="1" t="n">
        <v>46132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56890-2023</t>
        </is>
      </c>
      <c r="B784" s="1" t="n">
        <v>45244.5584375</v>
      </c>
      <c r="C784" s="1" t="n">
        <v>46132</v>
      </c>
      <c r="D784" t="inlineStr">
        <is>
          <t>KRONOBERGS LÄN</t>
        </is>
      </c>
      <c r="E784" t="inlineStr">
        <is>
          <t>TINGSRYD</t>
        </is>
      </c>
      <c r="G784" t="n">
        <v>14.7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44751-2024</t>
        </is>
      </c>
      <c r="B785" s="1" t="n">
        <v>45574.6072337963</v>
      </c>
      <c r="C785" s="1" t="n">
        <v>46132</v>
      </c>
      <c r="D785" t="inlineStr">
        <is>
          <t>KRONOBERGS LÄN</t>
        </is>
      </c>
      <c r="E785" t="inlineStr">
        <is>
          <t>TINGSRYD</t>
        </is>
      </c>
      <c r="G785" t="n">
        <v>10.6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5889-2025</t>
        </is>
      </c>
      <c r="B786" s="1" t="n">
        <v>45695.38024305556</v>
      </c>
      <c r="C786" s="1" t="n">
        <v>46132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6669-2025</t>
        </is>
      </c>
      <c r="B787" s="1" t="n">
        <v>45700.4653587963</v>
      </c>
      <c r="C787" s="1" t="n">
        <v>46132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57157-2023</t>
        </is>
      </c>
      <c r="B788" s="1" t="n">
        <v>45245.43540509259</v>
      </c>
      <c r="C788" s="1" t="n">
        <v>46132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49352-2023</t>
        </is>
      </c>
      <c r="B789" s="1" t="n">
        <v>45211</v>
      </c>
      <c r="C789" s="1" t="n">
        <v>46132</v>
      </c>
      <c r="D789" t="inlineStr">
        <is>
          <t>KRONOBERGS LÄN</t>
        </is>
      </c>
      <c r="E789" t="inlineStr">
        <is>
          <t>TINGSRYD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16761-2026</t>
        </is>
      </c>
      <c r="B790" s="1" t="n">
        <v>46113.40886574074</v>
      </c>
      <c r="C790" s="1" t="n">
        <v>46132</v>
      </c>
      <c r="D790" t="inlineStr">
        <is>
          <t>KRONOBERGS LÄN</t>
        </is>
      </c>
      <c r="E790" t="inlineStr">
        <is>
          <t>TINGSRYD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14918-2022</t>
        </is>
      </c>
      <c r="B791" s="1" t="n">
        <v>44657.34813657407</v>
      </c>
      <c r="C791" s="1" t="n">
        <v>46132</v>
      </c>
      <c r="D791" t="inlineStr">
        <is>
          <t>KRONOBERGS LÄN</t>
        </is>
      </c>
      <c r="E791" t="inlineStr">
        <is>
          <t>TINGSRYD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3987-2025</t>
        </is>
      </c>
      <c r="B792" s="1" t="n">
        <v>45684.55307870371</v>
      </c>
      <c r="C792" s="1" t="n">
        <v>46132</v>
      </c>
      <c r="D792" t="inlineStr">
        <is>
          <t>KRONOBERGS LÄN</t>
        </is>
      </c>
      <c r="E792" t="inlineStr">
        <is>
          <t>TINGSRYD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6664-2025</t>
        </is>
      </c>
      <c r="B793" s="1" t="n">
        <v>45700.4577199074</v>
      </c>
      <c r="C793" s="1" t="n">
        <v>46132</v>
      </c>
      <c r="D793" t="inlineStr">
        <is>
          <t>KRONOBERGS LÄN</t>
        </is>
      </c>
      <c r="E793" t="inlineStr">
        <is>
          <t>TINGSRYD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43315-2023</t>
        </is>
      </c>
      <c r="B794" s="1" t="n">
        <v>45183</v>
      </c>
      <c r="C794" s="1" t="n">
        <v>46132</v>
      </c>
      <c r="D794" t="inlineStr">
        <is>
          <t>KRONOBERGS LÄN</t>
        </is>
      </c>
      <c r="E794" t="inlineStr">
        <is>
          <t>TINGSRYD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43319-2023</t>
        </is>
      </c>
      <c r="B795" s="1" t="n">
        <v>45183</v>
      </c>
      <c r="C795" s="1" t="n">
        <v>46132</v>
      </c>
      <c r="D795" t="inlineStr">
        <is>
          <t>KRONOBERGS LÄN</t>
        </is>
      </c>
      <c r="E795" t="inlineStr">
        <is>
          <t>TINGSRYD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33354-2023</t>
        </is>
      </c>
      <c r="B796" s="1" t="n">
        <v>45117</v>
      </c>
      <c r="C796" s="1" t="n">
        <v>46132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28953-2022</t>
        </is>
      </c>
      <c r="B797" s="1" t="n">
        <v>44749.61423611111</v>
      </c>
      <c r="C797" s="1" t="n">
        <v>46132</v>
      </c>
      <c r="D797" t="inlineStr">
        <is>
          <t>KRONOBERGS LÄN</t>
        </is>
      </c>
      <c r="E797" t="inlineStr">
        <is>
          <t>TINGSRYD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24774-2022</t>
        </is>
      </c>
      <c r="B798" s="1" t="n">
        <v>44728</v>
      </c>
      <c r="C798" s="1" t="n">
        <v>46132</v>
      </c>
      <c r="D798" t="inlineStr">
        <is>
          <t>KRONOBERGS LÄN</t>
        </is>
      </c>
      <c r="E798" t="inlineStr">
        <is>
          <t>TINGSRYD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24786-2022</t>
        </is>
      </c>
      <c r="B799" s="1" t="n">
        <v>44728</v>
      </c>
      <c r="C799" s="1" t="n">
        <v>46132</v>
      </c>
      <c r="D799" t="inlineStr">
        <is>
          <t>KRONOBERGS LÄN</t>
        </is>
      </c>
      <c r="E799" t="inlineStr">
        <is>
          <t>TINGSRYD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40882-2023</t>
        </is>
      </c>
      <c r="B800" s="1" t="n">
        <v>45173.37136574074</v>
      </c>
      <c r="C800" s="1" t="n">
        <v>46132</v>
      </c>
      <c r="D800" t="inlineStr">
        <is>
          <t>KRONOBERGS LÄN</t>
        </is>
      </c>
      <c r="E800" t="inlineStr">
        <is>
          <t>TINGSRYD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14559-2022</t>
        </is>
      </c>
      <c r="B801" s="1" t="n">
        <v>44655.47528935185</v>
      </c>
      <c r="C801" s="1" t="n">
        <v>46132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52945-2023</t>
        </is>
      </c>
      <c r="B802" s="1" t="n">
        <v>45226.57850694445</v>
      </c>
      <c r="C802" s="1" t="n">
        <v>46132</v>
      </c>
      <c r="D802" t="inlineStr">
        <is>
          <t>KRONOBERGS LÄN</t>
        </is>
      </c>
      <c r="E802" t="inlineStr">
        <is>
          <t>TINGSRYD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17240-2026</t>
        </is>
      </c>
      <c r="B803" s="1" t="n">
        <v>46119.42434027778</v>
      </c>
      <c r="C803" s="1" t="n">
        <v>46132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20662-2022</t>
        </is>
      </c>
      <c r="B804" s="1" t="n">
        <v>44700.65032407407</v>
      </c>
      <c r="C804" s="1" t="n">
        <v>46132</v>
      </c>
      <c r="D804" t="inlineStr">
        <is>
          <t>KRONOBERGS LÄN</t>
        </is>
      </c>
      <c r="E804" t="inlineStr">
        <is>
          <t>TINGSRYD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42654-2023</t>
        </is>
      </c>
      <c r="B805" s="1" t="n">
        <v>45181.53826388889</v>
      </c>
      <c r="C805" s="1" t="n">
        <v>46132</v>
      </c>
      <c r="D805" t="inlineStr">
        <is>
          <t>KRONOBERGS LÄN</t>
        </is>
      </c>
      <c r="E805" t="inlineStr">
        <is>
          <t>TINGSRYD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21234-2022</t>
        </is>
      </c>
      <c r="B806" s="1" t="n">
        <v>44705</v>
      </c>
      <c r="C806" s="1" t="n">
        <v>46132</v>
      </c>
      <c r="D806" t="inlineStr">
        <is>
          <t>KRONOBERGS LÄN</t>
        </is>
      </c>
      <c r="E806" t="inlineStr">
        <is>
          <t>TINGSRYD</t>
        </is>
      </c>
      <c r="G806" t="n">
        <v>14.9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47393-2022</t>
        </is>
      </c>
      <c r="B807" s="1" t="n">
        <v>44852</v>
      </c>
      <c r="C807" s="1" t="n">
        <v>46132</v>
      </c>
      <c r="D807" t="inlineStr">
        <is>
          <t>KRONOBERGS LÄN</t>
        </is>
      </c>
      <c r="E807" t="inlineStr">
        <is>
          <t>TINGSRYD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29516-2022</t>
        </is>
      </c>
      <c r="B808" s="1" t="n">
        <v>44753.66082175926</v>
      </c>
      <c r="C808" s="1" t="n">
        <v>46132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1947-2024</t>
        </is>
      </c>
      <c r="B809" s="1" t="n">
        <v>45308.48898148148</v>
      </c>
      <c r="C809" s="1" t="n">
        <v>46132</v>
      </c>
      <c r="D809" t="inlineStr">
        <is>
          <t>KRONOBERGS LÄN</t>
        </is>
      </c>
      <c r="E809" t="inlineStr">
        <is>
          <t>TINGSRYD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39099-2023</t>
        </is>
      </c>
      <c r="B810" s="1" t="n">
        <v>45164</v>
      </c>
      <c r="C810" s="1" t="n">
        <v>46132</v>
      </c>
      <c r="D810" t="inlineStr">
        <is>
          <t>KRONOBERGS LÄN</t>
        </is>
      </c>
      <c r="E810" t="inlineStr">
        <is>
          <t>TINGSRYD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39103-2023</t>
        </is>
      </c>
      <c r="B811" s="1" t="n">
        <v>45164.6913425926</v>
      </c>
      <c r="C811" s="1" t="n">
        <v>46132</v>
      </c>
      <c r="D811" t="inlineStr">
        <is>
          <t>KRONOBERGS LÄN</t>
        </is>
      </c>
      <c r="E811" t="inlineStr">
        <is>
          <t>TINGSRYD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46470-2023</t>
        </is>
      </c>
      <c r="B812" s="1" t="n">
        <v>45197.63037037037</v>
      </c>
      <c r="C812" s="1" t="n">
        <v>46132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15252-2026</t>
        </is>
      </c>
      <c r="B813" s="1" t="n">
        <v>46105</v>
      </c>
      <c r="C813" s="1" t="n">
        <v>46132</v>
      </c>
      <c r="D813" t="inlineStr">
        <is>
          <t>KRONOBERGS LÄN</t>
        </is>
      </c>
      <c r="E813" t="inlineStr">
        <is>
          <t>TINGSRYD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17479-2026</t>
        </is>
      </c>
      <c r="B814" s="1" t="n">
        <v>46120.54754629629</v>
      </c>
      <c r="C814" s="1" t="n">
        <v>46132</v>
      </c>
      <c r="D814" t="inlineStr">
        <is>
          <t>KRONOBERGS LÄN</t>
        </is>
      </c>
      <c r="E814" t="inlineStr">
        <is>
          <t>TINGSRYD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17483-2026</t>
        </is>
      </c>
      <c r="B815" s="1" t="n">
        <v>46120.5540625</v>
      </c>
      <c r="C815" s="1" t="n">
        <v>46132</v>
      </c>
      <c r="D815" t="inlineStr">
        <is>
          <t>KRONOBERGS LÄN</t>
        </is>
      </c>
      <c r="E815" t="inlineStr">
        <is>
          <t>TINGSRYD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61444-2023</t>
        </is>
      </c>
      <c r="B816" s="1" t="n">
        <v>45264.80158564815</v>
      </c>
      <c r="C816" s="1" t="n">
        <v>46132</v>
      </c>
      <c r="D816" t="inlineStr">
        <is>
          <t>KRONOBERGS LÄN</t>
        </is>
      </c>
      <c r="E816" t="inlineStr">
        <is>
          <t>TINGSRYD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33351-2023</t>
        </is>
      </c>
      <c r="B817" s="1" t="n">
        <v>45117</v>
      </c>
      <c r="C817" s="1" t="n">
        <v>46132</v>
      </c>
      <c r="D817" t="inlineStr">
        <is>
          <t>KRONOBERGS LÄN</t>
        </is>
      </c>
      <c r="E817" t="inlineStr">
        <is>
          <t>TINGSRYD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17544-2026</t>
        </is>
      </c>
      <c r="B818" s="1" t="n">
        <v>46120.69350694444</v>
      </c>
      <c r="C818" s="1" t="n">
        <v>46132</v>
      </c>
      <c r="D818" t="inlineStr">
        <is>
          <t>KRONOBERGS LÄN</t>
        </is>
      </c>
      <c r="E818" t="inlineStr">
        <is>
          <t>TINGSRYD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17546-2026</t>
        </is>
      </c>
      <c r="B819" s="1" t="n">
        <v>46120.70076388889</v>
      </c>
      <c r="C819" s="1" t="n">
        <v>46132</v>
      </c>
      <c r="D819" t="inlineStr">
        <is>
          <t>KRONOBERGS LÄN</t>
        </is>
      </c>
      <c r="E819" t="inlineStr">
        <is>
          <t>TINGSRYD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10668-2026</t>
        </is>
      </c>
      <c r="B820" s="1" t="n">
        <v>46078.3915162037</v>
      </c>
      <c r="C820" s="1" t="n">
        <v>46132</v>
      </c>
      <c r="D820" t="inlineStr">
        <is>
          <t>KRONOBERGS LÄN</t>
        </is>
      </c>
      <c r="E820" t="inlineStr">
        <is>
          <t>TINGSRYD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54963-2023</t>
        </is>
      </c>
      <c r="B821" s="1" t="n">
        <v>45236</v>
      </c>
      <c r="C821" s="1" t="n">
        <v>46132</v>
      </c>
      <c r="D821" t="inlineStr">
        <is>
          <t>KRONOBERGS LÄN</t>
        </is>
      </c>
      <c r="E821" t="inlineStr">
        <is>
          <t>TINGSRYD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640-2024</t>
        </is>
      </c>
      <c r="B822" s="1" t="n">
        <v>45299</v>
      </c>
      <c r="C822" s="1" t="n">
        <v>46132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5380-2024</t>
        </is>
      </c>
      <c r="B823" s="1" t="n">
        <v>45331.49637731481</v>
      </c>
      <c r="C823" s="1" t="n">
        <v>46132</v>
      </c>
      <c r="D823" t="inlineStr">
        <is>
          <t>KRONOBERGS LÄN</t>
        </is>
      </c>
      <c r="E823" t="inlineStr">
        <is>
          <t>TINGSRYD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1342-2024</t>
        </is>
      </c>
      <c r="B824" s="1" t="n">
        <v>45303</v>
      </c>
      <c r="C824" s="1" t="n">
        <v>46132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55454-2023</t>
        </is>
      </c>
      <c r="B825" s="1" t="n">
        <v>45238.45707175926</v>
      </c>
      <c r="C825" s="1" t="n">
        <v>46132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7222-2025</t>
        </is>
      </c>
      <c r="B826" s="1" t="n">
        <v>45702.48780092593</v>
      </c>
      <c r="C826" s="1" t="n">
        <v>46132</v>
      </c>
      <c r="D826" t="inlineStr">
        <is>
          <t>KRONOBERGS LÄN</t>
        </is>
      </c>
      <c r="E826" t="inlineStr">
        <is>
          <t>TINGSRYD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30012-2023</t>
        </is>
      </c>
      <c r="B827" s="1" t="n">
        <v>45109.84163194444</v>
      </c>
      <c r="C827" s="1" t="n">
        <v>46132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30016-2023</t>
        </is>
      </c>
      <c r="B828" s="1" t="n">
        <v>45109.88641203703</v>
      </c>
      <c r="C828" s="1" t="n">
        <v>46132</v>
      </c>
      <c r="D828" t="inlineStr">
        <is>
          <t>KRONOBERGS LÄN</t>
        </is>
      </c>
      <c r="E828" t="inlineStr">
        <is>
          <t>TINGSRYD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1209-2024</t>
        </is>
      </c>
      <c r="B829" s="1" t="n">
        <v>45302.6375462963</v>
      </c>
      <c r="C829" s="1" t="n">
        <v>46132</v>
      </c>
      <c r="D829" t="inlineStr">
        <is>
          <t>KRONOBERGS LÄN</t>
        </is>
      </c>
      <c r="E829" t="inlineStr">
        <is>
          <t>TINGSRYD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17289-2025</t>
        </is>
      </c>
      <c r="B830" s="1" t="n">
        <v>45756</v>
      </c>
      <c r="C830" s="1" t="n">
        <v>46132</v>
      </c>
      <c r="D830" t="inlineStr">
        <is>
          <t>KRONOBERGS LÄN</t>
        </is>
      </c>
      <c r="E830" t="inlineStr">
        <is>
          <t>TINGSRYD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11445-2026</t>
        </is>
      </c>
      <c r="B831" s="1" t="n">
        <v>46083.53789351852</v>
      </c>
      <c r="C831" s="1" t="n">
        <v>46132</v>
      </c>
      <c r="D831" t="inlineStr">
        <is>
          <t>KRONOBERGS LÄN</t>
        </is>
      </c>
      <c r="E831" t="inlineStr">
        <is>
          <t>TINGSRYD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20525-2025</t>
        </is>
      </c>
      <c r="B832" s="1" t="n">
        <v>45775</v>
      </c>
      <c r="C832" s="1" t="n">
        <v>46132</v>
      </c>
      <c r="D832" t="inlineStr">
        <is>
          <t>KRONOBERGS LÄN</t>
        </is>
      </c>
      <c r="E832" t="inlineStr">
        <is>
          <t>TINGSRYD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11513-2026</t>
        </is>
      </c>
      <c r="B833" s="1" t="n">
        <v>46083.65954861111</v>
      </c>
      <c r="C833" s="1" t="n">
        <v>46132</v>
      </c>
      <c r="D833" t="inlineStr">
        <is>
          <t>KRONOBERGS LÄN</t>
        </is>
      </c>
      <c r="E833" t="inlineStr">
        <is>
          <t>TINGSRYD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11448-2026</t>
        </is>
      </c>
      <c r="B834" s="1" t="n">
        <v>46083.54393518518</v>
      </c>
      <c r="C834" s="1" t="n">
        <v>46132</v>
      </c>
      <c r="D834" t="inlineStr">
        <is>
          <t>KRONOBERGS LÄN</t>
        </is>
      </c>
      <c r="E834" t="inlineStr">
        <is>
          <t>TINGSRYD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11451-2026</t>
        </is>
      </c>
      <c r="B835" s="1" t="n">
        <v>46083.55599537037</v>
      </c>
      <c r="C835" s="1" t="n">
        <v>46132</v>
      </c>
      <c r="D835" t="inlineStr">
        <is>
          <t>KRONOBERGS LÄN</t>
        </is>
      </c>
      <c r="E835" t="inlineStr">
        <is>
          <t>TINGSRYD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36623-2022</t>
        </is>
      </c>
      <c r="B836" s="1" t="n">
        <v>44804</v>
      </c>
      <c r="C836" s="1" t="n">
        <v>46132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639-2024</t>
        </is>
      </c>
      <c r="B837" s="1" t="n">
        <v>45299</v>
      </c>
      <c r="C837" s="1" t="n">
        <v>46132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62169-2023</t>
        </is>
      </c>
      <c r="B838" s="1" t="n">
        <v>45266</v>
      </c>
      <c r="C838" s="1" t="n">
        <v>46132</v>
      </c>
      <c r="D838" t="inlineStr">
        <is>
          <t>KRONOBERGS LÄN</t>
        </is>
      </c>
      <c r="E838" t="inlineStr">
        <is>
          <t>TINGSRYD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1586-2024</t>
        </is>
      </c>
      <c r="B839" s="1" t="n">
        <v>45306</v>
      </c>
      <c r="C839" s="1" t="n">
        <v>46132</v>
      </c>
      <c r="D839" t="inlineStr">
        <is>
          <t>KRONOBERGS LÄN</t>
        </is>
      </c>
      <c r="E839" t="inlineStr">
        <is>
          <t>TINGSRYD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2806-2024</t>
        </is>
      </c>
      <c r="B840" s="1" t="n">
        <v>45314.68846064815</v>
      </c>
      <c r="C840" s="1" t="n">
        <v>46132</v>
      </c>
      <c r="D840" t="inlineStr">
        <is>
          <t>KRONOBERGS LÄN</t>
        </is>
      </c>
      <c r="E840" t="inlineStr">
        <is>
          <t>TINGSRYD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11624-2025</t>
        </is>
      </c>
      <c r="B841" s="1" t="n">
        <v>45727.45702546297</v>
      </c>
      <c r="C841" s="1" t="n">
        <v>46132</v>
      </c>
      <c r="D841" t="inlineStr">
        <is>
          <t>KRONOBERGS LÄN</t>
        </is>
      </c>
      <c r="E841" t="inlineStr">
        <is>
          <t>TINGSRYD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36626-2022</t>
        </is>
      </c>
      <c r="B842" s="1" t="n">
        <v>44804</v>
      </c>
      <c r="C842" s="1" t="n">
        <v>46132</v>
      </c>
      <c r="D842" t="inlineStr">
        <is>
          <t>KRONOBERGS LÄN</t>
        </is>
      </c>
      <c r="E842" t="inlineStr">
        <is>
          <t>TINGSRYD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41774-2023</t>
        </is>
      </c>
      <c r="B843" s="1" t="n">
        <v>45176.46609953704</v>
      </c>
      <c r="C843" s="1" t="n">
        <v>46132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10453-2024</t>
        </is>
      </c>
      <c r="B844" s="1" t="n">
        <v>45366.35745370371</v>
      </c>
      <c r="C844" s="1" t="n">
        <v>46132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29916-2022</t>
        </is>
      </c>
      <c r="B845" s="1" t="n">
        <v>44756</v>
      </c>
      <c r="C845" s="1" t="n">
        <v>46132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58251-2022</t>
        </is>
      </c>
      <c r="B846" s="1" t="n">
        <v>44901.43681712963</v>
      </c>
      <c r="C846" s="1" t="n">
        <v>46132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58256-2022</t>
        </is>
      </c>
      <c r="B847" s="1" t="n">
        <v>44901.44385416667</v>
      </c>
      <c r="C847" s="1" t="n">
        <v>46132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62209-2023</t>
        </is>
      </c>
      <c r="B848" s="1" t="n">
        <v>45267.48949074074</v>
      </c>
      <c r="C848" s="1" t="n">
        <v>46132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15132-2024</t>
        </is>
      </c>
      <c r="B849" s="1" t="n">
        <v>45399</v>
      </c>
      <c r="C849" s="1" t="n">
        <v>46132</v>
      </c>
      <c r="D849" t="inlineStr">
        <is>
          <t>KRONOBERGS LÄN</t>
        </is>
      </c>
      <c r="E849" t="inlineStr">
        <is>
          <t>TINGSRYD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59169-2022</t>
        </is>
      </c>
      <c r="B850" s="1" t="n">
        <v>44904.48119212963</v>
      </c>
      <c r="C850" s="1" t="n">
        <v>46132</v>
      </c>
      <c r="D850" t="inlineStr">
        <is>
          <t>KRONOBERGS LÄN</t>
        </is>
      </c>
      <c r="E850" t="inlineStr">
        <is>
          <t>TINGSRYD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50715-2022</t>
        </is>
      </c>
      <c r="B851" s="1" t="n">
        <v>44867</v>
      </c>
      <c r="C851" s="1" t="n">
        <v>46132</v>
      </c>
      <c r="D851" t="inlineStr">
        <is>
          <t>KRONOBERGS LÄN</t>
        </is>
      </c>
      <c r="E851" t="inlineStr">
        <is>
          <t>TINGSRYD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36376-2021</t>
        </is>
      </c>
      <c r="B852" s="1" t="n">
        <v>44390.6009837963</v>
      </c>
      <c r="C852" s="1" t="n">
        <v>46132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3588-2023</t>
        </is>
      </c>
      <c r="B853" s="1" t="n">
        <v>44950</v>
      </c>
      <c r="C853" s="1" t="n">
        <v>46132</v>
      </c>
      <c r="D853" t="inlineStr">
        <is>
          <t>KRONOBERGS LÄN</t>
        </is>
      </c>
      <c r="E853" t="inlineStr">
        <is>
          <t>TINGSRYD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42522-2022</t>
        </is>
      </c>
      <c r="B854" s="1" t="n">
        <v>44831.61528935185</v>
      </c>
      <c r="C854" s="1" t="n">
        <v>46132</v>
      </c>
      <c r="D854" t="inlineStr">
        <is>
          <t>KRONOBERGS LÄN</t>
        </is>
      </c>
      <c r="E854" t="inlineStr">
        <is>
          <t>TINGSRYD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42526-2022</t>
        </is>
      </c>
      <c r="B855" s="1" t="n">
        <v>44831.61790509259</v>
      </c>
      <c r="C855" s="1" t="n">
        <v>46132</v>
      </c>
      <c r="D855" t="inlineStr">
        <is>
          <t>KRONOBERGS LÄN</t>
        </is>
      </c>
      <c r="E855" t="inlineStr">
        <is>
          <t>TINGSRYD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66789-2021</t>
        </is>
      </c>
      <c r="B856" s="1" t="n">
        <v>44522.34871527777</v>
      </c>
      <c r="C856" s="1" t="n">
        <v>46132</v>
      </c>
      <c r="D856" t="inlineStr">
        <is>
          <t>KRONOBERGS LÄN</t>
        </is>
      </c>
      <c r="E856" t="inlineStr">
        <is>
          <t>TINGSRYD</t>
        </is>
      </c>
      <c r="F856" t="inlineStr">
        <is>
          <t>Övriga Aktiebolag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24431-2023</t>
        </is>
      </c>
      <c r="B857" s="1" t="n">
        <v>45082</v>
      </c>
      <c r="C857" s="1" t="n">
        <v>46132</v>
      </c>
      <c r="D857" t="inlineStr">
        <is>
          <t>KRONOBERGS LÄN</t>
        </is>
      </c>
      <c r="E857" t="inlineStr">
        <is>
          <t>TINGSRYD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4570-2024</t>
        </is>
      </c>
      <c r="B858" s="1" t="n">
        <v>45327.82774305555</v>
      </c>
      <c r="C858" s="1" t="n">
        <v>46132</v>
      </c>
      <c r="D858" t="inlineStr">
        <is>
          <t>KRONOBERGS LÄN</t>
        </is>
      </c>
      <c r="E858" t="inlineStr">
        <is>
          <t>TINGSRYD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62975-2023</t>
        </is>
      </c>
      <c r="B859" s="1" t="n">
        <v>45272.58155092593</v>
      </c>
      <c r="C859" s="1" t="n">
        <v>46132</v>
      </c>
      <c r="D859" t="inlineStr">
        <is>
          <t>KRONOBERGS LÄN</t>
        </is>
      </c>
      <c r="E859" t="inlineStr">
        <is>
          <t>TINGSRYD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61194-2023</t>
        </is>
      </c>
      <c r="B860" s="1" t="n">
        <v>45264</v>
      </c>
      <c r="C860" s="1" t="n">
        <v>46132</v>
      </c>
      <c r="D860" t="inlineStr">
        <is>
          <t>KRONOBERGS LÄN</t>
        </is>
      </c>
      <c r="E860" t="inlineStr">
        <is>
          <t>TINGSRYD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12122-2026</t>
        </is>
      </c>
      <c r="B861" s="1" t="n">
        <v>46086.54724537037</v>
      </c>
      <c r="C861" s="1" t="n">
        <v>46132</v>
      </c>
      <c r="D861" t="inlineStr">
        <is>
          <t>KRONOBERGS LÄN</t>
        </is>
      </c>
      <c r="E861" t="inlineStr">
        <is>
          <t>TINGSRYD</t>
        </is>
      </c>
      <c r="F861" t="inlineStr">
        <is>
          <t>Övriga Aktiebolag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46981-2023</t>
        </is>
      </c>
      <c r="B862" s="1" t="n">
        <v>45201</v>
      </c>
      <c r="C862" s="1" t="n">
        <v>46132</v>
      </c>
      <c r="D862" t="inlineStr">
        <is>
          <t>KRONOBERGS LÄN</t>
        </is>
      </c>
      <c r="E862" t="inlineStr">
        <is>
          <t>TINGSRYD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28507-2022</t>
        </is>
      </c>
      <c r="B863" s="1" t="n">
        <v>44748.32592592593</v>
      </c>
      <c r="C863" s="1" t="n">
        <v>46132</v>
      </c>
      <c r="D863" t="inlineStr">
        <is>
          <t>KRONOBERGS LÄN</t>
        </is>
      </c>
      <c r="E863" t="inlineStr">
        <is>
          <t>TINGSRYD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12126-2026</t>
        </is>
      </c>
      <c r="B864" s="1" t="n">
        <v>46086.55025462963</v>
      </c>
      <c r="C864" s="1" t="n">
        <v>46132</v>
      </c>
      <c r="D864" t="inlineStr">
        <is>
          <t>KRONOBERGS LÄN</t>
        </is>
      </c>
      <c r="E864" t="inlineStr">
        <is>
          <t>TINGSRYD</t>
        </is>
      </c>
      <c r="F864" t="inlineStr">
        <is>
          <t>Övriga Aktiebolag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12133-2026</t>
        </is>
      </c>
      <c r="B865" s="1" t="n">
        <v>46086.55395833333</v>
      </c>
      <c r="C865" s="1" t="n">
        <v>46132</v>
      </c>
      <c r="D865" t="inlineStr">
        <is>
          <t>KRONOBERGS LÄN</t>
        </is>
      </c>
      <c r="E865" t="inlineStr">
        <is>
          <t>TINGSRYD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19124-2022</t>
        </is>
      </c>
      <c r="B866" s="1" t="n">
        <v>44691.57900462963</v>
      </c>
      <c r="C866" s="1" t="n">
        <v>46132</v>
      </c>
      <c r="D866" t="inlineStr">
        <is>
          <t>KRONOBERGS LÄN</t>
        </is>
      </c>
      <c r="E866" t="inlineStr">
        <is>
          <t>TINGSRYD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1336-2024</t>
        </is>
      </c>
      <c r="B867" s="1" t="n">
        <v>45303</v>
      </c>
      <c r="C867" s="1" t="n">
        <v>46132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15130-2024</t>
        </is>
      </c>
      <c r="B868" s="1" t="n">
        <v>45399</v>
      </c>
      <c r="C868" s="1" t="n">
        <v>46132</v>
      </c>
      <c r="D868" t="inlineStr">
        <is>
          <t>KRONOBERGS LÄN</t>
        </is>
      </c>
      <c r="E868" t="inlineStr">
        <is>
          <t>TINGSRYD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54168-2024</t>
        </is>
      </c>
      <c r="B869" s="1" t="n">
        <v>45616</v>
      </c>
      <c r="C869" s="1" t="n">
        <v>46132</v>
      </c>
      <c r="D869" t="inlineStr">
        <is>
          <t>KRONOBERGS LÄN</t>
        </is>
      </c>
      <c r="E869" t="inlineStr">
        <is>
          <t>TINGSRYD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19380-2024</t>
        </is>
      </c>
      <c r="B870" s="1" t="n">
        <v>45429</v>
      </c>
      <c r="C870" s="1" t="n">
        <v>46132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19382-2024</t>
        </is>
      </c>
      <c r="B871" s="1" t="n">
        <v>45429.37171296297</v>
      </c>
      <c r="C871" s="1" t="n">
        <v>46132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47149-2023</t>
        </is>
      </c>
      <c r="B872" s="1" t="n">
        <v>45201.86790509259</v>
      </c>
      <c r="C872" s="1" t="n">
        <v>46132</v>
      </c>
      <c r="D872" t="inlineStr">
        <is>
          <t>KRONOBERGS LÄN</t>
        </is>
      </c>
      <c r="E872" t="inlineStr">
        <is>
          <t>TINGSRYD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46992-2021</t>
        </is>
      </c>
      <c r="B873" s="1" t="n">
        <v>44446.56373842592</v>
      </c>
      <c r="C873" s="1" t="n">
        <v>46132</v>
      </c>
      <c r="D873" t="inlineStr">
        <is>
          <t>KRONOBERGS LÄN</t>
        </is>
      </c>
      <c r="E873" t="inlineStr">
        <is>
          <t>TINGSRYD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44674-2024</t>
        </is>
      </c>
      <c r="B874" s="1" t="n">
        <v>45574</v>
      </c>
      <c r="C874" s="1" t="n">
        <v>46132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13269-2024</t>
        </is>
      </c>
      <c r="B875" s="1" t="n">
        <v>45386.59690972222</v>
      </c>
      <c r="C875" s="1" t="n">
        <v>46132</v>
      </c>
      <c r="D875" t="inlineStr">
        <is>
          <t>KRONOBERGS LÄN</t>
        </is>
      </c>
      <c r="E875" t="inlineStr">
        <is>
          <t>TINGSRYD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16992-2024</t>
        </is>
      </c>
      <c r="B876" s="1" t="n">
        <v>45412.33401620371</v>
      </c>
      <c r="C876" s="1" t="n">
        <v>46132</v>
      </c>
      <c r="D876" t="inlineStr">
        <is>
          <t>KRONOBERGS LÄN</t>
        </is>
      </c>
      <c r="E876" t="inlineStr">
        <is>
          <t>TINGSRYD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9826-2023</t>
        </is>
      </c>
      <c r="B877" s="1" t="n">
        <v>44984</v>
      </c>
      <c r="C877" s="1" t="n">
        <v>46132</v>
      </c>
      <c r="D877" t="inlineStr">
        <is>
          <t>KRONOBERGS LÄN</t>
        </is>
      </c>
      <c r="E877" t="inlineStr">
        <is>
          <t>TINGSRYD</t>
        </is>
      </c>
      <c r="G877" t="n">
        <v>12.4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11182-2024</t>
        </is>
      </c>
      <c r="B878" s="1" t="n">
        <v>45371.52966435185</v>
      </c>
      <c r="C878" s="1" t="n">
        <v>46132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16144-2024</t>
        </is>
      </c>
      <c r="B879" s="1" t="n">
        <v>45406.56274305555</v>
      </c>
      <c r="C879" s="1" t="n">
        <v>46132</v>
      </c>
      <c r="D879" t="inlineStr">
        <is>
          <t>KRONOBERGS LÄN</t>
        </is>
      </c>
      <c r="E879" t="inlineStr">
        <is>
          <t>TINGSRYD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58559-2024</t>
        </is>
      </c>
      <c r="B880" s="1" t="n">
        <v>45635.46958333333</v>
      </c>
      <c r="C880" s="1" t="n">
        <v>46132</v>
      </c>
      <c r="D880" t="inlineStr">
        <is>
          <t>KRONOBERGS LÄN</t>
        </is>
      </c>
      <c r="E880" t="inlineStr">
        <is>
          <t>TINGSRYD</t>
        </is>
      </c>
      <c r="F880" t="inlineStr">
        <is>
          <t>Övriga Aktiebolag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6930-2022</t>
        </is>
      </c>
      <c r="B881" s="1" t="n">
        <v>44602</v>
      </c>
      <c r="C881" s="1" t="n">
        <v>46132</v>
      </c>
      <c r="D881" t="inlineStr">
        <is>
          <t>KRONOBERGS LÄN</t>
        </is>
      </c>
      <c r="E881" t="inlineStr">
        <is>
          <t>TINGSRYD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41746-2021</t>
        </is>
      </c>
      <c r="B882" s="1" t="n">
        <v>44425</v>
      </c>
      <c r="C882" s="1" t="n">
        <v>46132</v>
      </c>
      <c r="D882" t="inlineStr">
        <is>
          <t>KRONOBERGS LÄN</t>
        </is>
      </c>
      <c r="E882" t="inlineStr">
        <is>
          <t>TINGSRYD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14934-2022</t>
        </is>
      </c>
      <c r="B883" s="1" t="n">
        <v>44657.40945601852</v>
      </c>
      <c r="C883" s="1" t="n">
        <v>46132</v>
      </c>
      <c r="D883" t="inlineStr">
        <is>
          <t>KRONOBERGS LÄN</t>
        </is>
      </c>
      <c r="E883" t="inlineStr">
        <is>
          <t>TINGSRYD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20925-2021</t>
        </is>
      </c>
      <c r="B884" s="1" t="n">
        <v>44316</v>
      </c>
      <c r="C884" s="1" t="n">
        <v>46132</v>
      </c>
      <c r="D884" t="inlineStr">
        <is>
          <t>KRONOBERGS LÄN</t>
        </is>
      </c>
      <c r="E884" t="inlineStr">
        <is>
          <t>TINGSRYD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31791-2021</t>
        </is>
      </c>
      <c r="B885" s="1" t="n">
        <v>44370</v>
      </c>
      <c r="C885" s="1" t="n">
        <v>46132</v>
      </c>
      <c r="D885" t="inlineStr">
        <is>
          <t>KRONOBERGS LÄN</t>
        </is>
      </c>
      <c r="E885" t="inlineStr">
        <is>
          <t>TINGSRYD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6960-2023</t>
        </is>
      </c>
      <c r="B886" s="1" t="n">
        <v>44967</v>
      </c>
      <c r="C886" s="1" t="n">
        <v>46132</v>
      </c>
      <c r="D886" t="inlineStr">
        <is>
          <t>KRONOBERGS LÄN</t>
        </is>
      </c>
      <c r="E886" t="inlineStr">
        <is>
          <t>TINGSRYD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43912-2024</t>
        </is>
      </c>
      <c r="B887" s="1" t="n">
        <v>45572.43400462963</v>
      </c>
      <c r="C887" s="1" t="n">
        <v>46132</v>
      </c>
      <c r="D887" t="inlineStr">
        <is>
          <t>KRONOBERGS LÄN</t>
        </is>
      </c>
      <c r="E887" t="inlineStr">
        <is>
          <t>TINGSRYD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11080-2022</t>
        </is>
      </c>
      <c r="B888" s="1" t="n">
        <v>44628.67694444444</v>
      </c>
      <c r="C888" s="1" t="n">
        <v>46132</v>
      </c>
      <c r="D888" t="inlineStr">
        <is>
          <t>KRONOBERGS LÄN</t>
        </is>
      </c>
      <c r="E888" t="inlineStr">
        <is>
          <t>TINGSRYD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6880-2023</t>
        </is>
      </c>
      <c r="B889" s="1" t="n">
        <v>44967</v>
      </c>
      <c r="C889" s="1" t="n">
        <v>46132</v>
      </c>
      <c r="D889" t="inlineStr">
        <is>
          <t>KRONOBERGS LÄN</t>
        </is>
      </c>
      <c r="E889" t="inlineStr">
        <is>
          <t>TINGSRYD</t>
        </is>
      </c>
      <c r="F889" t="inlineStr">
        <is>
          <t>Övriga Aktiebolag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1926-2023</t>
        </is>
      </c>
      <c r="B890" s="1" t="n">
        <v>44939.42466435185</v>
      </c>
      <c r="C890" s="1" t="n">
        <v>46132</v>
      </c>
      <c r="D890" t="inlineStr">
        <is>
          <t>KRONOBERGS LÄN</t>
        </is>
      </c>
      <c r="E890" t="inlineStr">
        <is>
          <t>TINGSRYD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10595-2023</t>
        </is>
      </c>
      <c r="B891" s="1" t="n">
        <v>44988.38652777778</v>
      </c>
      <c r="C891" s="1" t="n">
        <v>46132</v>
      </c>
      <c r="D891" t="inlineStr">
        <is>
          <t>KRONOBERGS LÄN</t>
        </is>
      </c>
      <c r="E891" t="inlineStr">
        <is>
          <t>TINGSRYD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43466-2024</t>
        </is>
      </c>
      <c r="B892" s="1" t="n">
        <v>45568</v>
      </c>
      <c r="C892" s="1" t="n">
        <v>46132</v>
      </c>
      <c r="D892" t="inlineStr">
        <is>
          <t>KRONOBERGS LÄN</t>
        </is>
      </c>
      <c r="E892" t="inlineStr">
        <is>
          <t>TINGSRYD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44234-2023</t>
        </is>
      </c>
      <c r="B893" s="1" t="n">
        <v>45188</v>
      </c>
      <c r="C893" s="1" t="n">
        <v>46132</v>
      </c>
      <c r="D893" t="inlineStr">
        <is>
          <t>KRONOBERGS LÄN</t>
        </is>
      </c>
      <c r="E893" t="inlineStr">
        <is>
          <t>TINGSRYD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21254-2023</t>
        </is>
      </c>
      <c r="B894" s="1" t="n">
        <v>45062.5940162037</v>
      </c>
      <c r="C894" s="1" t="n">
        <v>46132</v>
      </c>
      <c r="D894" t="inlineStr">
        <is>
          <t>KRONOBERGS LÄN</t>
        </is>
      </c>
      <c r="E894" t="inlineStr">
        <is>
          <t>TINGSRYD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14595-2024</t>
        </is>
      </c>
      <c r="B895" s="1" t="n">
        <v>45395.69365740741</v>
      </c>
      <c r="C895" s="1" t="n">
        <v>46132</v>
      </c>
      <c r="D895" t="inlineStr">
        <is>
          <t>KRONOBERGS LÄN</t>
        </is>
      </c>
      <c r="E895" t="inlineStr">
        <is>
          <t>TINGSRYD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13182-2023</t>
        </is>
      </c>
      <c r="B896" s="1" t="n">
        <v>45002</v>
      </c>
      <c r="C896" s="1" t="n">
        <v>46132</v>
      </c>
      <c r="D896" t="inlineStr">
        <is>
          <t>KRONOBERGS LÄN</t>
        </is>
      </c>
      <c r="E896" t="inlineStr">
        <is>
          <t>TINGSRYD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50212-2024</t>
        </is>
      </c>
      <c r="B897" s="1" t="n">
        <v>45600.51381944444</v>
      </c>
      <c r="C897" s="1" t="n">
        <v>46132</v>
      </c>
      <c r="D897" t="inlineStr">
        <is>
          <t>KRONOBERGS LÄN</t>
        </is>
      </c>
      <c r="E897" t="inlineStr">
        <is>
          <t>TINGSRYD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1994-2023</t>
        </is>
      </c>
      <c r="B898" s="1" t="n">
        <v>44938</v>
      </c>
      <c r="C898" s="1" t="n">
        <v>46132</v>
      </c>
      <c r="D898" t="inlineStr">
        <is>
          <t>KRONOBERGS LÄN</t>
        </is>
      </c>
      <c r="E898" t="inlineStr">
        <is>
          <t>TINGSRYD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60069-2022</t>
        </is>
      </c>
      <c r="B899" s="1" t="n">
        <v>44909.56182870371</v>
      </c>
      <c r="C899" s="1" t="n">
        <v>46132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20130-2022</t>
        </is>
      </c>
      <c r="B900" s="1" t="n">
        <v>44698</v>
      </c>
      <c r="C900" s="1" t="n">
        <v>46132</v>
      </c>
      <c r="D900" t="inlineStr">
        <is>
          <t>KRONOBERGS LÄN</t>
        </is>
      </c>
      <c r="E900" t="inlineStr">
        <is>
          <t>TINGSRYD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5292-2024</t>
        </is>
      </c>
      <c r="B901" s="1" t="n">
        <v>45331.35601851852</v>
      </c>
      <c r="C901" s="1" t="n">
        <v>46132</v>
      </c>
      <c r="D901" t="inlineStr">
        <is>
          <t>KRONOBERGS LÄN</t>
        </is>
      </c>
      <c r="E901" t="inlineStr">
        <is>
          <t>TINGSRYD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5293-2024</t>
        </is>
      </c>
      <c r="B902" s="1" t="n">
        <v>45331.35946759259</v>
      </c>
      <c r="C902" s="1" t="n">
        <v>46132</v>
      </c>
      <c r="D902" t="inlineStr">
        <is>
          <t>KRONOBERGS LÄN</t>
        </is>
      </c>
      <c r="E902" t="inlineStr">
        <is>
          <t>TINGSRYD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5294-2024</t>
        </is>
      </c>
      <c r="B903" s="1" t="n">
        <v>45331.3629050926</v>
      </c>
      <c r="C903" s="1" t="n">
        <v>46132</v>
      </c>
      <c r="D903" t="inlineStr">
        <is>
          <t>KRONOBERGS LÄN</t>
        </is>
      </c>
      <c r="E903" t="inlineStr">
        <is>
          <t>TINGSRYD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37126-2023</t>
        </is>
      </c>
      <c r="B904" s="1" t="n">
        <v>45155.56731481481</v>
      </c>
      <c r="C904" s="1" t="n">
        <v>46132</v>
      </c>
      <c r="D904" t="inlineStr">
        <is>
          <t>KRONOBERGS LÄN</t>
        </is>
      </c>
      <c r="E904" t="inlineStr">
        <is>
          <t>TINGSRYD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63824-2021</t>
        </is>
      </c>
      <c r="B905" s="1" t="n">
        <v>44509.57325231482</v>
      </c>
      <c r="C905" s="1" t="n">
        <v>46132</v>
      </c>
      <c r="D905" t="inlineStr">
        <is>
          <t>KRONOBERGS LÄN</t>
        </is>
      </c>
      <c r="E905" t="inlineStr">
        <is>
          <t>TINGSRYD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26794-2022</t>
        </is>
      </c>
      <c r="B906" s="1" t="n">
        <v>44740.4180324074</v>
      </c>
      <c r="C906" s="1" t="n">
        <v>46132</v>
      </c>
      <c r="D906" t="inlineStr">
        <is>
          <t>KRONOBERGS LÄN</t>
        </is>
      </c>
      <c r="E906" t="inlineStr">
        <is>
          <t>TINGSRYD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41768-2023</t>
        </is>
      </c>
      <c r="B907" s="1" t="n">
        <v>45176.46045138889</v>
      </c>
      <c r="C907" s="1" t="n">
        <v>46132</v>
      </c>
      <c r="D907" t="inlineStr">
        <is>
          <t>KRONOBERGS LÄN</t>
        </is>
      </c>
      <c r="E907" t="inlineStr">
        <is>
          <t>TINGSRYD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9452-2024</t>
        </is>
      </c>
      <c r="B908" s="1" t="n">
        <v>45359.52144675926</v>
      </c>
      <c r="C908" s="1" t="n">
        <v>46132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17527-2023</t>
        </is>
      </c>
      <c r="B909" s="1" t="n">
        <v>45036</v>
      </c>
      <c r="C909" s="1" t="n">
        <v>46132</v>
      </c>
      <c r="D909" t="inlineStr">
        <is>
          <t>KRONOBERGS LÄN</t>
        </is>
      </c>
      <c r="E909" t="inlineStr">
        <is>
          <t>TINGSRYD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12663-2024</t>
        </is>
      </c>
      <c r="B910" s="1" t="n">
        <v>45384.37467592592</v>
      </c>
      <c r="C910" s="1" t="n">
        <v>46132</v>
      </c>
      <c r="D910" t="inlineStr">
        <is>
          <t>KRONOBERGS LÄN</t>
        </is>
      </c>
      <c r="E910" t="inlineStr">
        <is>
          <t>TINGSRYD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22581-2024</t>
        </is>
      </c>
      <c r="B911" s="1" t="n">
        <v>45447</v>
      </c>
      <c r="C911" s="1" t="n">
        <v>46132</v>
      </c>
      <c r="D911" t="inlineStr">
        <is>
          <t>KRONOBERGS LÄN</t>
        </is>
      </c>
      <c r="E911" t="inlineStr">
        <is>
          <t>TINGSRYD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39659-2022</t>
        </is>
      </c>
      <c r="B912" s="1" t="n">
        <v>44818.77861111111</v>
      </c>
      <c r="C912" s="1" t="n">
        <v>46132</v>
      </c>
      <c r="D912" t="inlineStr">
        <is>
          <t>KRONOBERGS LÄN</t>
        </is>
      </c>
      <c r="E912" t="inlineStr">
        <is>
          <t>TINGSRYD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626-2023</t>
        </is>
      </c>
      <c r="B913" s="1" t="n">
        <v>44930.61665509259</v>
      </c>
      <c r="C913" s="1" t="n">
        <v>46132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42752-2021</t>
        </is>
      </c>
      <c r="B914" s="1" t="n">
        <v>44428.62381944444</v>
      </c>
      <c r="C914" s="1" t="n">
        <v>46132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11587-2022</t>
        </is>
      </c>
      <c r="B915" s="1" t="n">
        <v>44631.53199074074</v>
      </c>
      <c r="C915" s="1" t="n">
        <v>46132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57988-2022</t>
        </is>
      </c>
      <c r="B916" s="1" t="n">
        <v>44900</v>
      </c>
      <c r="C916" s="1" t="n">
        <v>46132</v>
      </c>
      <c r="D916" t="inlineStr">
        <is>
          <t>KRONOBERGS LÄN</t>
        </is>
      </c>
      <c r="E916" t="inlineStr">
        <is>
          <t>TINGSRYD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40015-2024</t>
        </is>
      </c>
      <c r="B917" s="1" t="n">
        <v>45553.65998842593</v>
      </c>
      <c r="C917" s="1" t="n">
        <v>46132</v>
      </c>
      <c r="D917" t="inlineStr">
        <is>
          <t>KRONOBERGS LÄN</t>
        </is>
      </c>
      <c r="E917" t="inlineStr">
        <is>
          <t>TINGSRYD</t>
        </is>
      </c>
      <c r="F917" t="inlineStr">
        <is>
          <t>Sveaskog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27685-2024</t>
        </is>
      </c>
      <c r="B918" s="1" t="n">
        <v>45474</v>
      </c>
      <c r="C918" s="1" t="n">
        <v>46132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4165-2025</t>
        </is>
      </c>
      <c r="B919" s="1" t="n">
        <v>45685.41125</v>
      </c>
      <c r="C919" s="1" t="n">
        <v>46132</v>
      </c>
      <c r="D919" t="inlineStr">
        <is>
          <t>KRONOBERGS LÄN</t>
        </is>
      </c>
      <c r="E919" t="inlineStr">
        <is>
          <t>TINGSRYD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60539-2022</t>
        </is>
      </c>
      <c r="B920" s="1" t="n">
        <v>44904</v>
      </c>
      <c r="C920" s="1" t="n">
        <v>46132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61119-2023</t>
        </is>
      </c>
      <c r="B921" s="1" t="n">
        <v>45261</v>
      </c>
      <c r="C921" s="1" t="n">
        <v>46132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6843-2023</t>
        </is>
      </c>
      <c r="B922" s="1" t="n">
        <v>44967.4374537037</v>
      </c>
      <c r="C922" s="1" t="n">
        <v>46132</v>
      </c>
      <c r="D922" t="inlineStr">
        <is>
          <t>KRONOBERGS LÄN</t>
        </is>
      </c>
      <c r="E922" t="inlineStr">
        <is>
          <t>TINGSRYD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6881-2023</t>
        </is>
      </c>
      <c r="B923" s="1" t="n">
        <v>44967.48209490741</v>
      </c>
      <c r="C923" s="1" t="n">
        <v>46132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66182-2021</t>
        </is>
      </c>
      <c r="B924" s="1" t="n">
        <v>44518.26645833333</v>
      </c>
      <c r="C924" s="1" t="n">
        <v>46132</v>
      </c>
      <c r="D924" t="inlineStr">
        <is>
          <t>KRONOBERGS LÄN</t>
        </is>
      </c>
      <c r="E924" t="inlineStr">
        <is>
          <t>TINGSRYD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51876-2024</t>
        </is>
      </c>
      <c r="B925" s="1" t="n">
        <v>45607.56002314815</v>
      </c>
      <c r="C925" s="1" t="n">
        <v>46132</v>
      </c>
      <c r="D925" t="inlineStr">
        <is>
          <t>KRONOBERGS LÄN</t>
        </is>
      </c>
      <c r="E925" t="inlineStr">
        <is>
          <t>TINGSRYD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38925-2024</t>
        </is>
      </c>
      <c r="B926" s="1" t="n">
        <v>45547</v>
      </c>
      <c r="C926" s="1" t="n">
        <v>46132</v>
      </c>
      <c r="D926" t="inlineStr">
        <is>
          <t>KRONOBERGS LÄN</t>
        </is>
      </c>
      <c r="E926" t="inlineStr">
        <is>
          <t>TINGSRYD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25290-2023</t>
        </is>
      </c>
      <c r="B927" s="1" t="n">
        <v>45086.72387731481</v>
      </c>
      <c r="C927" s="1" t="n">
        <v>46132</v>
      </c>
      <c r="D927" t="inlineStr">
        <is>
          <t>KRONOBERGS LÄN</t>
        </is>
      </c>
      <c r="E927" t="inlineStr">
        <is>
          <t>TINGSRYD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2462-2025</t>
        </is>
      </c>
      <c r="B928" s="1" t="n">
        <v>45674.4681712963</v>
      </c>
      <c r="C928" s="1" t="n">
        <v>46132</v>
      </c>
      <c r="D928" t="inlineStr">
        <is>
          <t>KRONOBERGS LÄN</t>
        </is>
      </c>
      <c r="E928" t="inlineStr">
        <is>
          <t>TINGSRYD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13322-2023</t>
        </is>
      </c>
      <c r="B929" s="1" t="n">
        <v>45005.39861111111</v>
      </c>
      <c r="C929" s="1" t="n">
        <v>46132</v>
      </c>
      <c r="D929" t="inlineStr">
        <is>
          <t>KRONOBERGS LÄN</t>
        </is>
      </c>
      <c r="E929" t="inlineStr">
        <is>
          <t>TINGSRYD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13340-2023</t>
        </is>
      </c>
      <c r="B930" s="1" t="n">
        <v>45005</v>
      </c>
      <c r="C930" s="1" t="n">
        <v>46132</v>
      </c>
      <c r="D930" t="inlineStr">
        <is>
          <t>KRONOBERGS LÄN</t>
        </is>
      </c>
      <c r="E930" t="inlineStr">
        <is>
          <t>TINGSRYD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58941-2023</t>
        </is>
      </c>
      <c r="B931" s="1" t="n">
        <v>45252.56825231481</v>
      </c>
      <c r="C931" s="1" t="n">
        <v>46132</v>
      </c>
      <c r="D931" t="inlineStr">
        <is>
          <t>KRONOBERGS LÄN</t>
        </is>
      </c>
      <c r="E931" t="inlineStr">
        <is>
          <t>TINGSRYD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6929-2025</t>
        </is>
      </c>
      <c r="B932" s="1" t="n">
        <v>45701.45229166667</v>
      </c>
      <c r="C932" s="1" t="n">
        <v>46132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38759-2024</t>
        </is>
      </c>
      <c r="B933" s="1" t="n">
        <v>45547.43822916667</v>
      </c>
      <c r="C933" s="1" t="n">
        <v>46132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29354-2023</t>
        </is>
      </c>
      <c r="B934" s="1" t="n">
        <v>45106.30399305555</v>
      </c>
      <c r="C934" s="1" t="n">
        <v>46132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7089-2023</t>
        </is>
      </c>
      <c r="B935" s="1" t="n">
        <v>44965</v>
      </c>
      <c r="C935" s="1" t="n">
        <v>46132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6144-2023</t>
        </is>
      </c>
      <c r="B936" s="1" t="n">
        <v>44964</v>
      </c>
      <c r="C936" s="1" t="n">
        <v>46132</v>
      </c>
      <c r="D936" t="inlineStr">
        <is>
          <t>KRONOBERGS LÄN</t>
        </is>
      </c>
      <c r="E936" t="inlineStr">
        <is>
          <t>TINGSRYD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22171-2022</t>
        </is>
      </c>
      <c r="B937" s="1" t="n">
        <v>44712.45701388889</v>
      </c>
      <c r="C937" s="1" t="n">
        <v>46132</v>
      </c>
      <c r="D937" t="inlineStr">
        <is>
          <t>KRONOBERGS LÄN</t>
        </is>
      </c>
      <c r="E937" t="inlineStr">
        <is>
          <t>TINGSRYD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25670-2021</t>
        </is>
      </c>
      <c r="B938" s="1" t="n">
        <v>44343</v>
      </c>
      <c r="C938" s="1" t="n">
        <v>46132</v>
      </c>
      <c r="D938" t="inlineStr">
        <is>
          <t>KRONOBERGS LÄN</t>
        </is>
      </c>
      <c r="E938" t="inlineStr">
        <is>
          <t>TINGSRYD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19765-2023</t>
        </is>
      </c>
      <c r="B939" s="1" t="n">
        <v>45051</v>
      </c>
      <c r="C939" s="1" t="n">
        <v>46132</v>
      </c>
      <c r="D939" t="inlineStr">
        <is>
          <t>KRONOBERGS LÄN</t>
        </is>
      </c>
      <c r="E939" t="inlineStr">
        <is>
          <t>TINGSRYD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6018-2022</t>
        </is>
      </c>
      <c r="B940" s="1" t="n">
        <v>44599.46640046296</v>
      </c>
      <c r="C940" s="1" t="n">
        <v>46132</v>
      </c>
      <c r="D940" t="inlineStr">
        <is>
          <t>KRONOBERGS LÄN</t>
        </is>
      </c>
      <c r="E940" t="inlineStr">
        <is>
          <t>TINGSRYD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16901-2023</t>
        </is>
      </c>
      <c r="B941" s="1" t="n">
        <v>45033.56914351852</v>
      </c>
      <c r="C941" s="1" t="n">
        <v>46132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33437-2023</t>
        </is>
      </c>
      <c r="B942" s="1" t="n">
        <v>45129.5234375</v>
      </c>
      <c r="C942" s="1" t="n">
        <v>46132</v>
      </c>
      <c r="D942" t="inlineStr">
        <is>
          <t>KRONOBERGS LÄN</t>
        </is>
      </c>
      <c r="E942" t="inlineStr">
        <is>
          <t>TINGSRYD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57111-2022</t>
        </is>
      </c>
      <c r="B943" s="1" t="n">
        <v>44895.51835648148</v>
      </c>
      <c r="C943" s="1" t="n">
        <v>46132</v>
      </c>
      <c r="D943" t="inlineStr">
        <is>
          <t>KRONOBERGS LÄN</t>
        </is>
      </c>
      <c r="E943" t="inlineStr">
        <is>
          <t>TINGSRYD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61462-2022</t>
        </is>
      </c>
      <c r="B944" s="1" t="n">
        <v>44916.42905092592</v>
      </c>
      <c r="C944" s="1" t="n">
        <v>46132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7589-2023</t>
        </is>
      </c>
      <c r="B945" s="1" t="n">
        <v>44972.4353587963</v>
      </c>
      <c r="C945" s="1" t="n">
        <v>46132</v>
      </c>
      <c r="D945" t="inlineStr">
        <is>
          <t>KRONOBERGS LÄN</t>
        </is>
      </c>
      <c r="E945" t="inlineStr">
        <is>
          <t>TINGSRYD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50635-2024</t>
        </is>
      </c>
      <c r="B946" s="1" t="n">
        <v>45601.67561342593</v>
      </c>
      <c r="C946" s="1" t="n">
        <v>46132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3531-2025</t>
        </is>
      </c>
      <c r="B947" s="1" t="n">
        <v>45680</v>
      </c>
      <c r="C947" s="1" t="n">
        <v>46132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34465-2023</t>
        </is>
      </c>
      <c r="B948" s="1" t="n">
        <v>45139</v>
      </c>
      <c r="C948" s="1" t="n">
        <v>46132</v>
      </c>
      <c r="D948" t="inlineStr">
        <is>
          <t>KRONOBERGS LÄN</t>
        </is>
      </c>
      <c r="E948" t="inlineStr">
        <is>
          <t>TINGSRYD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33355-2023</t>
        </is>
      </c>
      <c r="B949" s="1" t="n">
        <v>45117</v>
      </c>
      <c r="C949" s="1" t="n">
        <v>46132</v>
      </c>
      <c r="D949" t="inlineStr">
        <is>
          <t>KRONOBERGS LÄN</t>
        </is>
      </c>
      <c r="E949" t="inlineStr">
        <is>
          <t>TINGSRYD</t>
        </is>
      </c>
      <c r="G949" t="n">
        <v>8.800000000000001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33365-2023</t>
        </is>
      </c>
      <c r="B950" s="1" t="n">
        <v>45117</v>
      </c>
      <c r="C950" s="1" t="n">
        <v>46132</v>
      </c>
      <c r="D950" t="inlineStr">
        <is>
          <t>KRONOBERGS LÄN</t>
        </is>
      </c>
      <c r="E950" t="inlineStr">
        <is>
          <t>TINGSRYD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24415-2023</t>
        </is>
      </c>
      <c r="B951" s="1" t="n">
        <v>45082.45512731482</v>
      </c>
      <c r="C951" s="1" t="n">
        <v>46132</v>
      </c>
      <c r="D951" t="inlineStr">
        <is>
          <t>KRONOBERGS LÄN</t>
        </is>
      </c>
      <c r="E951" t="inlineStr">
        <is>
          <t>TINGSRYD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61558-2024</t>
        </is>
      </c>
      <c r="B952" s="1" t="n">
        <v>45646.61111111111</v>
      </c>
      <c r="C952" s="1" t="n">
        <v>46132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55652-2022</t>
        </is>
      </c>
      <c r="B953" s="1" t="n">
        <v>44888.47229166667</v>
      </c>
      <c r="C953" s="1" t="n">
        <v>46132</v>
      </c>
      <c r="D953" t="inlineStr">
        <is>
          <t>KRONOBERGS LÄN</t>
        </is>
      </c>
      <c r="E953" t="inlineStr">
        <is>
          <t>TINGSRYD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12044-2024</t>
        </is>
      </c>
      <c r="B954" s="1" t="n">
        <v>45377.44168981481</v>
      </c>
      <c r="C954" s="1" t="n">
        <v>46132</v>
      </c>
      <c r="D954" t="inlineStr">
        <is>
          <t>KRONOBERGS LÄN</t>
        </is>
      </c>
      <c r="E954" t="inlineStr">
        <is>
          <t>TINGSRYD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42304-2021</t>
        </is>
      </c>
      <c r="B955" s="1" t="n">
        <v>44426</v>
      </c>
      <c r="C955" s="1" t="n">
        <v>46132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49940-2023</t>
        </is>
      </c>
      <c r="B956" s="1" t="n">
        <v>45215.35358796296</v>
      </c>
      <c r="C956" s="1" t="n">
        <v>46132</v>
      </c>
      <c r="D956" t="inlineStr">
        <is>
          <t>KRONOBERGS LÄN</t>
        </is>
      </c>
      <c r="E956" t="inlineStr">
        <is>
          <t>TINGSRYD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14387-2024</t>
        </is>
      </c>
      <c r="B957" s="1" t="n">
        <v>45394.32820601852</v>
      </c>
      <c r="C957" s="1" t="n">
        <v>46132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17346-2023</t>
        </is>
      </c>
      <c r="B958" s="1" t="n">
        <v>45035.58140046296</v>
      </c>
      <c r="C958" s="1" t="n">
        <v>46132</v>
      </c>
      <c r="D958" t="inlineStr">
        <is>
          <t>KRONOBERGS LÄN</t>
        </is>
      </c>
      <c r="E958" t="inlineStr">
        <is>
          <t>TINGSRYD</t>
        </is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15412-2024</t>
        </is>
      </c>
      <c r="B959" s="1" t="n">
        <v>45401.35483796296</v>
      </c>
      <c r="C959" s="1" t="n">
        <v>46132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9822-2023</t>
        </is>
      </c>
      <c r="B960" s="1" t="n">
        <v>44984</v>
      </c>
      <c r="C960" s="1" t="n">
        <v>46132</v>
      </c>
      <c r="D960" t="inlineStr">
        <is>
          <t>KRONOBERGS LÄN</t>
        </is>
      </c>
      <c r="E960" t="inlineStr">
        <is>
          <t>TINGSRYD</t>
        </is>
      </c>
      <c r="G960" t="n">
        <v>8.9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4730-2025</t>
        </is>
      </c>
      <c r="B961" s="1" t="n">
        <v>45688</v>
      </c>
      <c r="C961" s="1" t="n">
        <v>46132</v>
      </c>
      <c r="D961" t="inlineStr">
        <is>
          <t>KRONOBERGS LÄN</t>
        </is>
      </c>
      <c r="E961" t="inlineStr">
        <is>
          <t>TINGSRYD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64069-2023</t>
        </is>
      </c>
      <c r="B962" s="1" t="n">
        <v>45279.36726851852</v>
      </c>
      <c r="C962" s="1" t="n">
        <v>46132</v>
      </c>
      <c r="D962" t="inlineStr">
        <is>
          <t>KRONOBERGS LÄN</t>
        </is>
      </c>
      <c r="E962" t="inlineStr">
        <is>
          <t>TINGSRYD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5295-2024</t>
        </is>
      </c>
      <c r="B963" s="1" t="n">
        <v>45331.36413194444</v>
      </c>
      <c r="C963" s="1" t="n">
        <v>46132</v>
      </c>
      <c r="D963" t="inlineStr">
        <is>
          <t>KRONOBERGS LÄN</t>
        </is>
      </c>
      <c r="E963" t="inlineStr">
        <is>
          <t>TINGSRYD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19824-2025</t>
        </is>
      </c>
      <c r="B964" s="1" t="n">
        <v>45771</v>
      </c>
      <c r="C964" s="1" t="n">
        <v>46132</v>
      </c>
      <c r="D964" t="inlineStr">
        <is>
          <t>KRONOBERGS LÄN</t>
        </is>
      </c>
      <c r="E964" t="inlineStr">
        <is>
          <t>TINGSRYD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55982-2023</t>
        </is>
      </c>
      <c r="B965" s="1" t="n">
        <v>45240.37677083333</v>
      </c>
      <c r="C965" s="1" t="n">
        <v>46132</v>
      </c>
      <c r="D965" t="inlineStr">
        <is>
          <t>KRONOBERGS LÄN</t>
        </is>
      </c>
      <c r="E965" t="inlineStr">
        <is>
          <t>TINGSRYD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3338-2023</t>
        </is>
      </c>
      <c r="B966" s="1" t="n">
        <v>44949.4493287037</v>
      </c>
      <c r="C966" s="1" t="n">
        <v>46132</v>
      </c>
      <c r="D966" t="inlineStr">
        <is>
          <t>KRONOBERGS LÄN</t>
        </is>
      </c>
      <c r="E966" t="inlineStr">
        <is>
          <t>TINGSRYD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7408-2023</t>
        </is>
      </c>
      <c r="B967" s="1" t="n">
        <v>44971</v>
      </c>
      <c r="C967" s="1" t="n">
        <v>46132</v>
      </c>
      <c r="D967" t="inlineStr">
        <is>
          <t>KRONOBERGS LÄN</t>
        </is>
      </c>
      <c r="E967" t="inlineStr">
        <is>
          <t>TINGSRYD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50817-2024</t>
        </is>
      </c>
      <c r="B968" s="1" t="n">
        <v>45601</v>
      </c>
      <c r="C968" s="1" t="n">
        <v>46132</v>
      </c>
      <c r="D968" t="inlineStr">
        <is>
          <t>KRONOBERGS LÄN</t>
        </is>
      </c>
      <c r="E968" t="inlineStr">
        <is>
          <t>TINGSRYD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17694-2025</t>
        </is>
      </c>
      <c r="B969" s="1" t="n">
        <v>45758.41136574074</v>
      </c>
      <c r="C969" s="1" t="n">
        <v>46132</v>
      </c>
      <c r="D969" t="inlineStr">
        <is>
          <t>KRONOBERGS LÄN</t>
        </is>
      </c>
      <c r="E969" t="inlineStr">
        <is>
          <t>TINGSRYD</t>
        </is>
      </c>
      <c r="F969" t="inlineStr">
        <is>
          <t>Övriga Aktiebolag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44839-2024</t>
        </is>
      </c>
      <c r="B970" s="1" t="n">
        <v>45574.71269675926</v>
      </c>
      <c r="C970" s="1" t="n">
        <v>46132</v>
      </c>
      <c r="D970" t="inlineStr">
        <is>
          <t>KRONOBERGS LÄN</t>
        </is>
      </c>
      <c r="E970" t="inlineStr">
        <is>
          <t>TINGSRYD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8777-2024</t>
        </is>
      </c>
      <c r="B971" s="1" t="n">
        <v>45356.56041666667</v>
      </c>
      <c r="C971" s="1" t="n">
        <v>46132</v>
      </c>
      <c r="D971" t="inlineStr">
        <is>
          <t>KRONOBERGS LÄN</t>
        </is>
      </c>
      <c r="E971" t="inlineStr">
        <is>
          <t>TINGSRYD</t>
        </is>
      </c>
      <c r="F971" t="inlineStr">
        <is>
          <t>Övriga Aktiebolag</t>
        </is>
      </c>
      <c r="G971" t="n">
        <v>7.3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16898-2025</t>
        </is>
      </c>
      <c r="B972" s="1" t="n">
        <v>45755</v>
      </c>
      <c r="C972" s="1" t="n">
        <v>46132</v>
      </c>
      <c r="D972" t="inlineStr">
        <is>
          <t>KRONOBERGS LÄN</t>
        </is>
      </c>
      <c r="E972" t="inlineStr">
        <is>
          <t>TINGSRYD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16985-2025</t>
        </is>
      </c>
      <c r="B973" s="1" t="n">
        <v>45755.48774305556</v>
      </c>
      <c r="C973" s="1" t="n">
        <v>46132</v>
      </c>
      <c r="D973" t="inlineStr">
        <is>
          <t>KRONOBERGS LÄN</t>
        </is>
      </c>
      <c r="E973" t="inlineStr">
        <is>
          <t>TINGSRYD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11600-2025</t>
        </is>
      </c>
      <c r="B974" s="1" t="n">
        <v>45727.42905092592</v>
      </c>
      <c r="C974" s="1" t="n">
        <v>46132</v>
      </c>
      <c r="D974" t="inlineStr">
        <is>
          <t>KRONOBERGS LÄN</t>
        </is>
      </c>
      <c r="E974" t="inlineStr">
        <is>
          <t>TINGSRYD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45636-2024</t>
        </is>
      </c>
      <c r="B975" s="1" t="n">
        <v>45579.4727662037</v>
      </c>
      <c r="C975" s="1" t="n">
        <v>46132</v>
      </c>
      <c r="D975" t="inlineStr">
        <is>
          <t>KRONOBERGS LÄN</t>
        </is>
      </c>
      <c r="E975" t="inlineStr">
        <is>
          <t>TINGSRYD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1001-2023</t>
        </is>
      </c>
      <c r="B976" s="1" t="n">
        <v>44935</v>
      </c>
      <c r="C976" s="1" t="n">
        <v>46132</v>
      </c>
      <c r="D976" t="inlineStr">
        <is>
          <t>KRONOBERGS LÄN</t>
        </is>
      </c>
      <c r="E976" t="inlineStr">
        <is>
          <t>TINGSRYD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17065-2023</t>
        </is>
      </c>
      <c r="B977" s="1" t="n">
        <v>45034</v>
      </c>
      <c r="C977" s="1" t="n">
        <v>46132</v>
      </c>
      <c r="D977" t="inlineStr">
        <is>
          <t>KRONOBERGS LÄN</t>
        </is>
      </c>
      <c r="E977" t="inlineStr">
        <is>
          <t>TINGSRYD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44679-2024</t>
        </is>
      </c>
      <c r="B978" s="1" t="n">
        <v>45574</v>
      </c>
      <c r="C978" s="1" t="n">
        <v>46132</v>
      </c>
      <c r="D978" t="inlineStr">
        <is>
          <t>KRONOBERGS LÄN</t>
        </is>
      </c>
      <c r="E978" t="inlineStr">
        <is>
          <t>TINGSRYD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13193-2023</t>
        </is>
      </c>
      <c r="B979" s="1" t="n">
        <v>45002</v>
      </c>
      <c r="C979" s="1" t="n">
        <v>46132</v>
      </c>
      <c r="D979" t="inlineStr">
        <is>
          <t>KRONOBERGS LÄN</t>
        </is>
      </c>
      <c r="E979" t="inlineStr">
        <is>
          <t>TINGSRYD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32810-2023</t>
        </is>
      </c>
      <c r="B980" s="1" t="n">
        <v>45124.51753472222</v>
      </c>
      <c r="C980" s="1" t="n">
        <v>46132</v>
      </c>
      <c r="D980" t="inlineStr">
        <is>
          <t>KRONOBERGS LÄN</t>
        </is>
      </c>
      <c r="E980" t="inlineStr">
        <is>
          <t>TINGSRYD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4795-2024</t>
        </is>
      </c>
      <c r="B981" s="1" t="n">
        <v>45328</v>
      </c>
      <c r="C981" s="1" t="n">
        <v>46132</v>
      </c>
      <c r="D981" t="inlineStr">
        <is>
          <t>KRONOBERGS LÄN</t>
        </is>
      </c>
      <c r="E981" t="inlineStr">
        <is>
          <t>TINGSRYD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5616-2023</t>
        </is>
      </c>
      <c r="B982" s="1" t="n">
        <v>44960.56908564815</v>
      </c>
      <c r="C982" s="1" t="n">
        <v>46132</v>
      </c>
      <c r="D982" t="inlineStr">
        <is>
          <t>KRONOBERGS LÄN</t>
        </is>
      </c>
      <c r="E982" t="inlineStr">
        <is>
          <t>TINGSRYD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39994-2024</t>
        </is>
      </c>
      <c r="B983" s="1" t="n">
        <v>45553.6357175926</v>
      </c>
      <c r="C983" s="1" t="n">
        <v>46132</v>
      </c>
      <c r="D983" t="inlineStr">
        <is>
          <t>KRONOBERGS LÄN</t>
        </is>
      </c>
      <c r="E983" t="inlineStr">
        <is>
          <t>TINGSRYD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11724-2022</t>
        </is>
      </c>
      <c r="B984" s="1" t="n">
        <v>44634</v>
      </c>
      <c r="C984" s="1" t="n">
        <v>46132</v>
      </c>
      <c r="D984" t="inlineStr">
        <is>
          <t>KRONOBERGS LÄN</t>
        </is>
      </c>
      <c r="E984" t="inlineStr">
        <is>
          <t>TINGSRYD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7224-2025</t>
        </is>
      </c>
      <c r="B985" s="1" t="n">
        <v>45702.49078703704</v>
      </c>
      <c r="C985" s="1" t="n">
        <v>46132</v>
      </c>
      <c r="D985" t="inlineStr">
        <is>
          <t>KRONOBERGS LÄN</t>
        </is>
      </c>
      <c r="E985" t="inlineStr">
        <is>
          <t>TINGSRYD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14396-2024</t>
        </is>
      </c>
      <c r="B986" s="1" t="n">
        <v>45394.33746527778</v>
      </c>
      <c r="C986" s="1" t="n">
        <v>46132</v>
      </c>
      <c r="D986" t="inlineStr">
        <is>
          <t>KRONOBERGS LÄN</t>
        </is>
      </c>
      <c r="E986" t="inlineStr">
        <is>
          <t>TINGSRYD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8678-2025</t>
        </is>
      </c>
      <c r="B987" s="1" t="n">
        <v>45711</v>
      </c>
      <c r="C987" s="1" t="n">
        <v>46132</v>
      </c>
      <c r="D987" t="inlineStr">
        <is>
          <t>KRONOBERGS LÄN</t>
        </is>
      </c>
      <c r="E987" t="inlineStr">
        <is>
          <t>TINGSRYD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20858-2024</t>
        </is>
      </c>
      <c r="B988" s="1" t="n">
        <v>45439.42700231481</v>
      </c>
      <c r="C988" s="1" t="n">
        <v>46132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5223-2025</t>
        </is>
      </c>
      <c r="B989" s="1" t="n">
        <v>45691.71813657408</v>
      </c>
      <c r="C989" s="1" t="n">
        <v>46132</v>
      </c>
      <c r="D989" t="inlineStr">
        <is>
          <t>KRONOBERGS LÄN</t>
        </is>
      </c>
      <c r="E989" t="inlineStr">
        <is>
          <t>TINGSRYD</t>
        </is>
      </c>
      <c r="F989" t="inlineStr">
        <is>
          <t>Sveaskog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41126-2024</t>
        </is>
      </c>
      <c r="B990" s="1" t="n">
        <v>45559</v>
      </c>
      <c r="C990" s="1" t="n">
        <v>46132</v>
      </c>
      <c r="D990" t="inlineStr">
        <is>
          <t>KRONOBERGS LÄN</t>
        </is>
      </c>
      <c r="E990" t="inlineStr">
        <is>
          <t>TINGSRYD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59082-2024</t>
        </is>
      </c>
      <c r="B991" s="1" t="n">
        <v>45637.3090162037</v>
      </c>
      <c r="C991" s="1" t="n">
        <v>46132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59092-2024</t>
        </is>
      </c>
      <c r="B992" s="1" t="n">
        <v>45637.31978009259</v>
      </c>
      <c r="C992" s="1" t="n">
        <v>46132</v>
      </c>
      <c r="D992" t="inlineStr">
        <is>
          <t>KRONOBERGS LÄN</t>
        </is>
      </c>
      <c r="E992" t="inlineStr">
        <is>
          <t>TINGSRYD</t>
        </is>
      </c>
      <c r="F992" t="inlineStr">
        <is>
          <t>Övriga Aktiebolag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53768-2024</t>
        </is>
      </c>
      <c r="B993" s="1" t="n">
        <v>45615.52596064815</v>
      </c>
      <c r="C993" s="1" t="n">
        <v>46132</v>
      </c>
      <c r="D993" t="inlineStr">
        <is>
          <t>KRONOBERGS LÄN</t>
        </is>
      </c>
      <c r="E993" t="inlineStr">
        <is>
          <t>TINGSRYD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37393-2024</t>
        </is>
      </c>
      <c r="B994" s="1" t="n">
        <v>45540.59579861111</v>
      </c>
      <c r="C994" s="1" t="n">
        <v>46132</v>
      </c>
      <c r="D994" t="inlineStr">
        <is>
          <t>KRONOBERGS LÄN</t>
        </is>
      </c>
      <c r="E994" t="inlineStr">
        <is>
          <t>TINGSRYD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24302-2024</t>
        </is>
      </c>
      <c r="B995" s="1" t="n">
        <v>45457</v>
      </c>
      <c r="C995" s="1" t="n">
        <v>46132</v>
      </c>
      <c r="D995" t="inlineStr">
        <is>
          <t>KRONOBERGS LÄN</t>
        </is>
      </c>
      <c r="E995" t="inlineStr">
        <is>
          <t>TINGSRYD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62223-2023</t>
        </is>
      </c>
      <c r="B996" s="1" t="n">
        <v>45267.54905092593</v>
      </c>
      <c r="C996" s="1" t="n">
        <v>46132</v>
      </c>
      <c r="D996" t="inlineStr">
        <is>
          <t>KRONOBERGS LÄN</t>
        </is>
      </c>
      <c r="E996" t="inlineStr">
        <is>
          <t>TINGSRYD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16955-2025</t>
        </is>
      </c>
      <c r="B997" s="1" t="n">
        <v>45755</v>
      </c>
      <c r="C997" s="1" t="n">
        <v>46132</v>
      </c>
      <c r="D997" t="inlineStr">
        <is>
          <t>KRONOBERGS LÄN</t>
        </is>
      </c>
      <c r="E997" t="inlineStr">
        <is>
          <t>TINGSRYD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27421-2024</t>
        </is>
      </c>
      <c r="B998" s="1" t="n">
        <v>45474.37907407407</v>
      </c>
      <c r="C998" s="1" t="n">
        <v>46132</v>
      </c>
      <c r="D998" t="inlineStr">
        <is>
          <t>KRONOBERGS LÄN</t>
        </is>
      </c>
      <c r="E998" t="inlineStr">
        <is>
          <t>TINGSRYD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13296-2024</t>
        </is>
      </c>
      <c r="B999" s="1" t="n">
        <v>45386.66395833333</v>
      </c>
      <c r="C999" s="1" t="n">
        <v>46132</v>
      </c>
      <c r="D999" t="inlineStr">
        <is>
          <t>KRONOBERGS LÄN</t>
        </is>
      </c>
      <c r="E999" t="inlineStr">
        <is>
          <t>TINGSRYD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49739-2024</t>
        </is>
      </c>
      <c r="B1000" s="1" t="n">
        <v>45596.8827662037</v>
      </c>
      <c r="C1000" s="1" t="n">
        <v>46132</v>
      </c>
      <c r="D1000" t="inlineStr">
        <is>
          <t>KRONOBERGS LÄN</t>
        </is>
      </c>
      <c r="E1000" t="inlineStr">
        <is>
          <t>TINGSRYD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45522-2023</t>
        </is>
      </c>
      <c r="B1001" s="1" t="n">
        <v>45194.5039699074</v>
      </c>
      <c r="C1001" s="1" t="n">
        <v>46132</v>
      </c>
      <c r="D1001" t="inlineStr">
        <is>
          <t>KRONOBERGS LÄN</t>
        </is>
      </c>
      <c r="E1001" t="inlineStr">
        <is>
          <t>TINGSRYD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3585-2023</t>
        </is>
      </c>
      <c r="B1002" s="1" t="n">
        <v>44950.55744212963</v>
      </c>
      <c r="C1002" s="1" t="n">
        <v>46132</v>
      </c>
      <c r="D1002" t="inlineStr">
        <is>
          <t>KRONOBERGS LÄN</t>
        </is>
      </c>
      <c r="E1002" t="inlineStr">
        <is>
          <t>TINGSRYD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4571-2024</t>
        </is>
      </c>
      <c r="B1003" s="1" t="n">
        <v>45327.82945601852</v>
      </c>
      <c r="C1003" s="1" t="n">
        <v>46132</v>
      </c>
      <c r="D1003" t="inlineStr">
        <is>
          <t>KRONOBERGS LÄN</t>
        </is>
      </c>
      <c r="E1003" t="inlineStr">
        <is>
          <t>TINGSRYD</t>
        </is>
      </c>
      <c r="F1003" t="inlineStr">
        <is>
          <t>Sveaskog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19639-2024</t>
        </is>
      </c>
      <c r="B1004" s="1" t="n">
        <v>45432.37760416666</v>
      </c>
      <c r="C1004" s="1" t="n">
        <v>46132</v>
      </c>
      <c r="D1004" t="inlineStr">
        <is>
          <t>KRONOBERGS LÄN</t>
        </is>
      </c>
      <c r="E1004" t="inlineStr">
        <is>
          <t>TINGSRYD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3744-2025</t>
        </is>
      </c>
      <c r="B1005" s="1" t="n">
        <v>45681.57925925926</v>
      </c>
      <c r="C1005" s="1" t="n">
        <v>46132</v>
      </c>
      <c r="D1005" t="inlineStr">
        <is>
          <t>KRONOBERGS LÄN</t>
        </is>
      </c>
      <c r="E1005" t="inlineStr">
        <is>
          <t>TINGSRYD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20111-2024</t>
        </is>
      </c>
      <c r="B1006" s="1" t="n">
        <v>45434.50174768519</v>
      </c>
      <c r="C1006" s="1" t="n">
        <v>46132</v>
      </c>
      <c r="D1006" t="inlineStr">
        <is>
          <t>KRONOBERGS LÄN</t>
        </is>
      </c>
      <c r="E1006" t="inlineStr">
        <is>
          <t>TINGSRYD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16487-2024</t>
        </is>
      </c>
      <c r="B1007" s="1" t="n">
        <v>45408.34063657407</v>
      </c>
      <c r="C1007" s="1" t="n">
        <v>46132</v>
      </c>
      <c r="D1007" t="inlineStr">
        <is>
          <t>KRONOBERGS LÄN</t>
        </is>
      </c>
      <c r="E1007" t="inlineStr">
        <is>
          <t>TINGSRYD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7797-2024</t>
        </is>
      </c>
      <c r="B1008" s="1" t="n">
        <v>45349.62076388889</v>
      </c>
      <c r="C1008" s="1" t="n">
        <v>46132</v>
      </c>
      <c r="D1008" t="inlineStr">
        <is>
          <t>KRONOBERGS LÄN</t>
        </is>
      </c>
      <c r="E1008" t="inlineStr">
        <is>
          <t>TINGSRYD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63444-2023</t>
        </is>
      </c>
      <c r="B1009" s="1" t="n">
        <v>45274.60413194444</v>
      </c>
      <c r="C1009" s="1" t="n">
        <v>46132</v>
      </c>
      <c r="D1009" t="inlineStr">
        <is>
          <t>KRONOBERGS LÄN</t>
        </is>
      </c>
      <c r="E1009" t="inlineStr">
        <is>
          <t>TINGSRYD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1563-2025</t>
        </is>
      </c>
      <c r="B1010" s="1" t="n">
        <v>45670</v>
      </c>
      <c r="C1010" s="1" t="n">
        <v>46132</v>
      </c>
      <c r="D1010" t="inlineStr">
        <is>
          <t>KRONOBERGS LÄN</t>
        </is>
      </c>
      <c r="E1010" t="inlineStr">
        <is>
          <t>TINGSRYD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42087-2024</t>
        </is>
      </c>
      <c r="B1011" s="1" t="n">
        <v>45562.33819444444</v>
      </c>
      <c r="C1011" s="1" t="n">
        <v>46132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17936-2024</t>
        </is>
      </c>
      <c r="B1012" s="1" t="n">
        <v>45419.61716435185</v>
      </c>
      <c r="C1012" s="1" t="n">
        <v>46132</v>
      </c>
      <c r="D1012" t="inlineStr">
        <is>
          <t>KRONOBERGS LÄN</t>
        </is>
      </c>
      <c r="E1012" t="inlineStr">
        <is>
          <t>TINGSRYD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33326-2024</t>
        </is>
      </c>
      <c r="B1013" s="1" t="n">
        <v>45519</v>
      </c>
      <c r="C1013" s="1" t="n">
        <v>46132</v>
      </c>
      <c r="D1013" t="inlineStr">
        <is>
          <t>KRONOBERGS LÄN</t>
        </is>
      </c>
      <c r="E1013" t="inlineStr">
        <is>
          <t>TINGSRYD</t>
        </is>
      </c>
      <c r="G1013" t="n">
        <v>10.6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44743-2024</t>
        </is>
      </c>
      <c r="B1014" s="1" t="n">
        <v>45574.59706018519</v>
      </c>
      <c r="C1014" s="1" t="n">
        <v>46132</v>
      </c>
      <c r="D1014" t="inlineStr">
        <is>
          <t>KRONOBERGS LÄN</t>
        </is>
      </c>
      <c r="E1014" t="inlineStr">
        <is>
          <t>TINGSRYD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25589-2023</t>
        </is>
      </c>
      <c r="B1015" s="1" t="n">
        <v>45089.63065972222</v>
      </c>
      <c r="C1015" s="1" t="n">
        <v>46132</v>
      </c>
      <c r="D1015" t="inlineStr">
        <is>
          <t>KRONOBERGS LÄN</t>
        </is>
      </c>
      <c r="E1015" t="inlineStr">
        <is>
          <t>TINGSRYD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50798-2024</t>
        </is>
      </c>
      <c r="B1016" s="1" t="n">
        <v>45602.49121527778</v>
      </c>
      <c r="C1016" s="1" t="n">
        <v>46132</v>
      </c>
      <c r="D1016" t="inlineStr">
        <is>
          <t>KRONOBERGS LÄN</t>
        </is>
      </c>
      <c r="E1016" t="inlineStr">
        <is>
          <t>TINGSRYD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53766-2024</t>
        </is>
      </c>
      <c r="B1017" s="1" t="n">
        <v>45615.52241898148</v>
      </c>
      <c r="C1017" s="1" t="n">
        <v>46132</v>
      </c>
      <c r="D1017" t="inlineStr">
        <is>
          <t>KRONOBERGS LÄN</t>
        </is>
      </c>
      <c r="E1017" t="inlineStr">
        <is>
          <t>TINGSRYD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2026-04-20T10:31:28Z</dcterms:created>
  <dcterms:modified xmlns:dcterms="http://purl.org/dc/terms/" xmlns:xsi="http://www.w3.org/2001/XMLSchema-instance" xsi:type="dcterms:W3CDTF">2026-04-20T10:31:29Z</dcterms:modified>
</cp:coreProperties>
</file>